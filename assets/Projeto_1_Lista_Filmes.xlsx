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3b5f693d92bc71a/1_DIO/BOOTCAMP_NEO4J/"/>
    </mc:Choice>
  </mc:AlternateContent>
  <xr:revisionPtr revIDLastSave="11" documentId="8_{D20D9404-0333-4756-A39B-ECAA08BA182C}" xr6:coauthVersionLast="47" xr6:coauthVersionMax="47" xr10:uidLastSave="{EA3FA5F1-A5D7-4131-82CE-ED8902CFDA09}"/>
  <bookViews>
    <workbookView xWindow="28680" yWindow="675" windowWidth="24240" windowHeight="13290" activeTab="3" xr2:uid="{A8FF9734-81CD-4D73-A603-61BADD180B5E}"/>
  </bookViews>
  <sheets>
    <sheet name="Planilha1" sheetId="1" r:id="rId1"/>
    <sheet name="Planilha3" sheetId="3" r:id="rId2"/>
    <sheet name="Planilha2" sheetId="4" r:id="rId3"/>
    <sheet name="Projeto 1 Entregue" sheetId="5" r:id="rId4"/>
  </sheets>
  <definedNames>
    <definedName name="_xlnm._FilterDatabase" localSheetId="0" hidden="1">Planilha1!$A$1:$J$41</definedName>
    <definedName name="Projeto_1_Lista_Filmes" localSheetId="0">Planilha1!$A$1:$I$41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19" i="5" l="1"/>
  <c r="W20" i="5"/>
  <c r="W21" i="5"/>
  <c r="W22" i="5"/>
  <c r="W18" i="5"/>
  <c r="S22" i="5"/>
  <c r="S21" i="5"/>
  <c r="S20" i="5"/>
  <c r="S19" i="5"/>
  <c r="S18" i="5"/>
  <c r="P18" i="5"/>
  <c r="P22" i="5"/>
  <c r="P21" i="5"/>
  <c r="P20" i="5"/>
  <c r="P19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4" i="5"/>
  <c r="AN23" i="4"/>
  <c r="AN22" i="4"/>
  <c r="AN21" i="4"/>
  <c r="AN20" i="4"/>
  <c r="AN19" i="4"/>
  <c r="AN18" i="4"/>
  <c r="AN17" i="4"/>
  <c r="AN16" i="4"/>
  <c r="AN15" i="4"/>
  <c r="AN14" i="4"/>
  <c r="AN13" i="4"/>
  <c r="AN12" i="4"/>
  <c r="AN11" i="4"/>
  <c r="AN10" i="4"/>
  <c r="AN9" i="4"/>
  <c r="AN8" i="4"/>
  <c r="AN7" i="4"/>
  <c r="AN6" i="4"/>
  <c r="AN5" i="4"/>
  <c r="AH6" i="4"/>
  <c r="AH7" i="4"/>
  <c r="AH8" i="4"/>
  <c r="AH9" i="4"/>
  <c r="AH10" i="4"/>
  <c r="AH11" i="4"/>
  <c r="AH12" i="4"/>
  <c r="AH13" i="4"/>
  <c r="AH14" i="4"/>
  <c r="AH15" i="4"/>
  <c r="AH16" i="4"/>
  <c r="AH17" i="4"/>
  <c r="AH18" i="4"/>
  <c r="AH5" i="4"/>
  <c r="AE6" i="4"/>
  <c r="AE7" i="4"/>
  <c r="AE8" i="4"/>
  <c r="AE9" i="4"/>
  <c r="AE10" i="4"/>
  <c r="AE11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5" i="4"/>
  <c r="P20" i="4"/>
  <c r="P21" i="4"/>
  <c r="P22" i="4"/>
  <c r="P23" i="4"/>
  <c r="P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O26" i="1"/>
  <c r="O41" i="1"/>
  <c r="O28" i="1"/>
  <c r="O24" i="1"/>
  <c r="O22" i="1"/>
  <c r="O21" i="1"/>
  <c r="O18" i="1"/>
  <c r="O17" i="1"/>
  <c r="O15" i="1"/>
  <c r="O14" i="1"/>
  <c r="O13" i="1"/>
  <c r="O11" i="1"/>
  <c r="O10" i="1"/>
  <c r="O9" i="1"/>
  <c r="O8" i="1"/>
  <c r="O6" i="1"/>
  <c r="N41" i="1"/>
  <c r="N28" i="1"/>
  <c r="N26" i="1"/>
  <c r="N24" i="1"/>
  <c r="N22" i="1"/>
  <c r="N21" i="1"/>
  <c r="N18" i="1"/>
  <c r="N17" i="1"/>
  <c r="N15" i="1"/>
  <c r="N14" i="1"/>
  <c r="N13" i="1"/>
  <c r="N11" i="1"/>
  <c r="N10" i="1"/>
  <c r="N9" i="1"/>
  <c r="N8" i="1"/>
  <c r="N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EF7E41-A2E9-436C-A1D0-3BB92FC30B53}" name="Projeto_1_Lista_Filmes" type="6" refreshedVersion="8" background="1" saveData="1">
    <textPr codePage="65001" sourceFile="C:\Users\Alvaro\OneDrive\1_DIO\BOOTCAMP_NEO4J\Projeto_1_Lista_Filmes.csv" decimal="," thousands="." tab="0" comma="1">
      <textFields count="9">
        <textField type="text"/>
        <textField type="text"/>
        <textField/>
        <textField type="text"/>
        <textField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<sst xmlns="http://schemas.openxmlformats.org/spreadsheetml/2006/main" count="809" uniqueCount="239">
  <si>
    <t>Tipo</t>
  </si>
  <si>
    <t>Nome Filme</t>
  </si>
  <si>
    <t>Ano Lançamento</t>
  </si>
  <si>
    <t>Genero</t>
  </si>
  <si>
    <t>Ator principal</t>
  </si>
  <si>
    <t>Ator coadjuvante</t>
  </si>
  <si>
    <t>Diretor</t>
  </si>
  <si>
    <t>Nome de ficticio de uma pessoa que assistiu</t>
  </si>
  <si>
    <t>Pais de origem o filme</t>
  </si>
  <si>
    <t>Filme</t>
  </si>
  <si>
    <t>2001: Uma Odisseia no Espaço</t>
  </si>
  <si>
    <t>Ficção Científica</t>
  </si>
  <si>
    <t>Keir Dullea</t>
  </si>
  <si>
    <t>Gary Lockwood</t>
  </si>
  <si>
    <t>Stanley Kubrick</t>
  </si>
  <si>
    <t>Sr. Carvalho</t>
  </si>
  <si>
    <t>Estados Unidos</t>
  </si>
  <si>
    <t>Laranja Mecânica</t>
  </si>
  <si>
    <t>Malcolm McDowell</t>
  </si>
  <si>
    <t>Patrick Magee</t>
  </si>
  <si>
    <t>Ana Silva</t>
  </si>
  <si>
    <t>Reino Unido</t>
  </si>
  <si>
    <t>O Poderoso Chefão</t>
  </si>
  <si>
    <t>Policial Investigativo</t>
  </si>
  <si>
    <t>Al Pacino</t>
  </si>
  <si>
    <t>Robert Duvall</t>
  </si>
  <si>
    <t>Francis Ford Coppola</t>
  </si>
  <si>
    <t>João Mendes</t>
  </si>
  <si>
    <t>Blade Runner: O Caçador de Androides</t>
  </si>
  <si>
    <t>Harrison Ford</t>
  </si>
  <si>
    <t>Rutger Hauer</t>
  </si>
  <si>
    <t>Ridley Scott</t>
  </si>
  <si>
    <t>Pedro Santos</t>
  </si>
  <si>
    <t>Os Caçadores da Arca Perdida</t>
  </si>
  <si>
    <t>Ação</t>
  </si>
  <si>
    <t>Karen Allen</t>
  </si>
  <si>
    <t>Steven Spielberg</t>
  </si>
  <si>
    <t>Carla Lima</t>
  </si>
  <si>
    <t>O Último Imperador</t>
  </si>
  <si>
    <t>Documentário</t>
  </si>
  <si>
    <t>John Lone</t>
  </si>
  <si>
    <t>Joan Chen</t>
  </si>
  <si>
    <t>Bernardo Bertolucci</t>
  </si>
  <si>
    <t>Fernando Costa</t>
  </si>
  <si>
    <t>Itália / China</t>
  </si>
  <si>
    <t>Cruzada</t>
  </si>
  <si>
    <t>Cristão</t>
  </si>
  <si>
    <t>Jim Caviezel</t>
  </si>
  <si>
    <t>Maia Morgenstern</t>
  </si>
  <si>
    <t>Mel Gibson</t>
  </si>
  <si>
    <t>Maria Oliveira</t>
  </si>
  <si>
    <t>Diários de Motocicleta</t>
  </si>
  <si>
    <t>Gael García Bernal</t>
  </si>
  <si>
    <t>Rodrigo de la Serna</t>
  </si>
  <si>
    <t>Walter Salles</t>
  </si>
  <si>
    <t>Paulo Rocha</t>
  </si>
  <si>
    <t>Brasil</t>
  </si>
  <si>
    <t>Tropa de Elite</t>
  </si>
  <si>
    <t>Wagner Moura</t>
  </si>
  <si>
    <t>Caio Junqueira</t>
  </si>
  <si>
    <t>José Padilha</t>
  </si>
  <si>
    <t>Juliana Alves</t>
  </si>
  <si>
    <t>O Curioso Caso de Benjamin Button</t>
  </si>
  <si>
    <t>Romance</t>
  </si>
  <si>
    <t>Brad Pitt</t>
  </si>
  <si>
    <t>Cate Blanchett</t>
  </si>
  <si>
    <t>David Fincher</t>
  </si>
  <si>
    <t>Sofia Ribeiro</t>
  </si>
  <si>
    <t>Gravidade</t>
  </si>
  <si>
    <t>Sandra Bullock</t>
  </si>
  <si>
    <t>George Clooney</t>
  </si>
  <si>
    <t>Alfonso Cuarón</t>
  </si>
  <si>
    <t>Ricardo Tavares</t>
  </si>
  <si>
    <t>Carros</t>
  </si>
  <si>
    <t>Owen Wilson (voz)</t>
  </si>
  <si>
    <t>Paul Newman (voz)</t>
  </si>
  <si>
    <t>John Lasseter</t>
  </si>
  <si>
    <t>Lucas Martins</t>
  </si>
  <si>
    <t>A Chegada</t>
  </si>
  <si>
    <t>Amy Adams</t>
  </si>
  <si>
    <t>Jeremy Renner</t>
  </si>
  <si>
    <t>Denis Villeneuve</t>
  </si>
  <si>
    <t>Cidade de Deus</t>
  </si>
  <si>
    <t>Alexandre Rodrigues</t>
  </si>
  <si>
    <t>Leandro Firmino</t>
  </si>
  <si>
    <t>Fernando Meirelles</t>
  </si>
  <si>
    <t>Central do Brasil</t>
  </si>
  <si>
    <t>Fernanda Montenegro</t>
  </si>
  <si>
    <t>Vinícius de Oliveira</t>
  </si>
  <si>
    <t>Mad Max: Estrada da Fúria</t>
  </si>
  <si>
    <t>Tom Hardy</t>
  </si>
  <si>
    <t>Charlize Theron</t>
  </si>
  <si>
    <t>George Miller</t>
  </si>
  <si>
    <t>Austrália</t>
  </si>
  <si>
    <t>O Silêncio</t>
  </si>
  <si>
    <t>Andrew Garfield</t>
  </si>
  <si>
    <t>Adam Driver</t>
  </si>
  <si>
    <t>Martin Scorsese</t>
  </si>
  <si>
    <t>O Poço</t>
  </si>
  <si>
    <t>Iván Massagué</t>
  </si>
  <si>
    <t>Zorion Eguileor</t>
  </si>
  <si>
    <t>Galder Gaztelu-Urrutia</t>
  </si>
  <si>
    <t>Espanha</t>
  </si>
  <si>
    <t>Duna</t>
  </si>
  <si>
    <t>Timothée Chalamet</t>
  </si>
  <si>
    <t>Rebecca Ferguson</t>
  </si>
  <si>
    <t>Top Gun: Maverick</t>
  </si>
  <si>
    <t>Tom Cruise</t>
  </si>
  <si>
    <t>Val Kilmer</t>
  </si>
  <si>
    <t>Joseph Kosinski</t>
  </si>
  <si>
    <t>Série</t>
  </si>
  <si>
    <t>Cosmos: Uma Odisseia no Espaço-Tempo</t>
  </si>
  <si>
    <t>Neil deGrasse Tyson</t>
  </si>
  <si>
    <t>-</t>
  </si>
  <si>
    <t>Brannon Braga</t>
  </si>
  <si>
    <t>Breaking Bad</t>
  </si>
  <si>
    <t>Bryan Cranston</t>
  </si>
  <si>
    <t>Aaron Paul</t>
  </si>
  <si>
    <t>Vince Gilligan</t>
  </si>
  <si>
    <t>Black Mirror</t>
  </si>
  <si>
    <t>Bryce Dallas Howard</t>
  </si>
  <si>
    <t>Charlie Brooker</t>
  </si>
  <si>
    <t>The Crown</t>
  </si>
  <si>
    <t>Claire Foy</t>
  </si>
  <si>
    <t>Matt Smith</t>
  </si>
  <si>
    <t>Peter Morgan</t>
  </si>
  <si>
    <t>The Last of Us</t>
  </si>
  <si>
    <t>Pedro Pascal</t>
  </si>
  <si>
    <t>Bella Ramsey</t>
  </si>
  <si>
    <t>Craig Mazin</t>
  </si>
  <si>
    <t>O Mandarim</t>
  </si>
  <si>
    <t>Zhu Yi Long</t>
  </si>
  <si>
    <t>Fei Xing</t>
  </si>
  <si>
    <t>China</t>
  </si>
  <si>
    <t>The Chosen</t>
  </si>
  <si>
    <t>Jonathan Roumie</t>
  </si>
  <si>
    <t>Shahar Isaac</t>
  </si>
  <si>
    <t>Dallas Jenkins</t>
  </si>
  <si>
    <t>Modern Love</t>
  </si>
  <si>
    <t>Anne Hathaway</t>
  </si>
  <si>
    <t>John Carney</t>
  </si>
  <si>
    <t>Narcos</t>
  </si>
  <si>
    <t>Boyd Holbrook</t>
  </si>
  <si>
    <t>O Gambito da Rainha</t>
  </si>
  <si>
    <t>Drama</t>
  </si>
  <si>
    <t>Anya Taylor-Joy</t>
  </si>
  <si>
    <t>Thomas Brodie-Sangster</t>
  </si>
  <si>
    <t>Scott Frank</t>
  </si>
  <si>
    <t>Stranger Things</t>
  </si>
  <si>
    <t>Millie Bobby Brown</t>
  </si>
  <si>
    <t>David Harbour</t>
  </si>
  <si>
    <t>Matt e Ross Duffer</t>
  </si>
  <si>
    <t>Missão: Histórias de Amor que Ensinam a Amar</t>
  </si>
  <si>
    <t>O Justiceiro</t>
  </si>
  <si>
    <t>Jon Bernthal</t>
  </si>
  <si>
    <t>Ben Barnes</t>
  </si>
  <si>
    <t>Steve Lightfoot</t>
  </si>
  <si>
    <t>Atypical</t>
  </si>
  <si>
    <t>Jennifer Jason Leigh</t>
  </si>
  <si>
    <t>Keir Gilchrist</t>
  </si>
  <si>
    <t>Robia Rashid</t>
  </si>
  <si>
    <t>Chef's Table</t>
  </si>
  <si>
    <t>David Gelb</t>
  </si>
  <si>
    <t>Dark</t>
  </si>
  <si>
    <t>Louis Hofmann</t>
  </si>
  <si>
    <t>Lisa Vicari</t>
  </si>
  <si>
    <t>Baran bo Odar</t>
  </si>
  <si>
    <t>Alemanha</t>
  </si>
  <si>
    <t>Line of Duty</t>
  </si>
  <si>
    <t>Martin Compston</t>
  </si>
  <si>
    <t>Vicky McClure</t>
  </si>
  <si>
    <t>Jed Mercurio</t>
  </si>
  <si>
    <t>The Expanse</t>
  </si>
  <si>
    <t>Steven Strait</t>
  </si>
  <si>
    <t>Dominique Tipper</t>
  </si>
  <si>
    <t>Mark Fergus</t>
  </si>
  <si>
    <t>When They See Us</t>
  </si>
  <si>
    <t>Jharrel Jerome</t>
  </si>
  <si>
    <t>Ava DuVernay</t>
  </si>
  <si>
    <t>Outlander</t>
  </si>
  <si>
    <t>Caitríona Balfe</t>
  </si>
  <si>
    <t>Sam Heughan</t>
  </si>
  <si>
    <t>Ronald D. Moore</t>
  </si>
  <si>
    <t/>
  </si>
  <si>
    <t>ESCOLHA</t>
  </si>
  <si>
    <t>S</t>
  </si>
  <si>
    <t xml:space="preserve"> </t>
  </si>
  <si>
    <t>Ana Carla Santos</t>
  </si>
  <si>
    <t>Rocha</t>
  </si>
  <si>
    <t>Santos</t>
  </si>
  <si>
    <t>Oliveira</t>
  </si>
  <si>
    <t>Mendes</t>
  </si>
  <si>
    <t>Ribeiro</t>
  </si>
  <si>
    <t>Martins</t>
  </si>
  <si>
    <t>Antônio João Mendes</t>
  </si>
  <si>
    <t>Maria Castro</t>
  </si>
  <si>
    <t xml:space="preserve">CREATE </t>
  </si>
  <si>
    <t>(:Movie {title: "</t>
  </si>
  <si>
    <t xml:space="preserve">Filme </t>
  </si>
  <si>
    <t>Serie</t>
  </si>
  <si>
    <t>Ator</t>
  </si>
  <si>
    <t>Usuario</t>
  </si>
  <si>
    <t>(:Series {title: "</t>
  </si>
  <si>
    <t>Resultado</t>
  </si>
  <si>
    <t xml:space="preserve">  (:User {name: "</t>
  </si>
  <si>
    <t xml:space="preserve">  (:Actor {name: "</t>
  </si>
  <si>
    <t>(:Director   {name: "</t>
  </si>
  <si>
    <t>USUARIO</t>
  </si>
  <si>
    <t>"});</t>
  </si>
  <si>
    <t>Filme x Ator</t>
  </si>
  <si>
    <t>MATCH (a:Actor {name: "</t>
  </si>
  <si>
    <t xml:space="preserve">  CREATE (a)-[:ACTED_IN]-&gt;(m);</t>
  </si>
  <si>
    <t>"}), (m:Movie {title:  "</t>
  </si>
  <si>
    <t>"})</t>
  </si>
  <si>
    <t>FILME X DIRETOR</t>
  </si>
  <si>
    <t>MATCH (d:Director {name: "</t>
  </si>
  <si>
    <t>"}),  (m:Movie {title: "</t>
  </si>
  <si>
    <t>" })     CREATE (d)-[:DIRECTED]-&gt;(m);</t>
  </si>
  <si>
    <t>FILME x USUARIO.</t>
  </si>
  <si>
    <t>MATCH (u:User {name:  "</t>
  </si>
  <si>
    <t>"})    CREATE (u)-[:WATCHED {rating: 'ótimo'}]-&gt;(m);</t>
  </si>
  <si>
    <t>FILME X GENERO.</t>
  </si>
  <si>
    <t>MATCH (m:Movie {title: "</t>
  </si>
  <si>
    <t>"}),  (g:Genre {type: "</t>
  </si>
  <si>
    <t>"})      CREATE (m)&lt;-[:IN_GENRE]-(g);</t>
  </si>
  <si>
    <t>SERIE X ATOR.</t>
  </si>
  <si>
    <t>"}),         (s:Series {title: "</t>
  </si>
  <si>
    <t>"})        CREATE (a)-[:ACTED_IN]-&gt;(s),</t>
  </si>
  <si>
    <t>SERIE X DIRETOR.</t>
  </si>
  <si>
    <t>"}),           (s:Series {title: "</t>
  </si>
  <si>
    <t>"})               CREATE (d)-[:DIRECTED]-&gt;(s);</t>
  </si>
  <si>
    <t>SERIE x USUARIO.</t>
  </si>
  <si>
    <t>MATCH (u:User {name: "</t>
  </si>
  <si>
    <t>"}),               (s:Series {title: "</t>
  </si>
  <si>
    <t>"})               CREATE (u)-[:WATCHED {rating: "</t>
  </si>
  <si>
    <t>"}]-&gt;(s);</t>
  </si>
  <si>
    <t>regular</t>
  </si>
  <si>
    <t>bom</t>
  </si>
  <si>
    <t>ótimo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</si>
</sst>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0" fontId="0" fillId="0" borderId="0" xfId="0" quotePrefix="1"/>
    <xf numFmtId="0" fontId="1" fillId="0" borderId="0" xfId="0" applyFont="1"/>
    <xf numFmtId="0" fontId="0" fillId="0" borderId="1" xfId="0" applyBorder="1"/>
    <xf numFmtId="49" fontId="0" fillId="0" borderId="0" xfId="0" applyNumberFormat="1" applyFill="1"/>
    <xf numFmtId="0" fontId="0" fillId="0" borderId="0" xfId="0" applyFill="1"/>
    <xf numFmtId="0" fontId="1" fillId="0" borderId="0" xfId="0" applyFont="1" applyFill="1"/>
    <xf numFmtId="49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rojeto_1_Lista_Filmes" connectionId="1" xr16:uid="{9E718772-8D27-4B67-A7F1-BA8C96486629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D0DDC-A9B3-45A0-B602-A29EA88ED08E}">
  <sheetPr filterMode="1"/>
  <dimension ref="A1:AG45"/>
  <sheetViews>
    <sheetView zoomScale="115" zoomScaleNormal="115" workbookViewId="0">
      <selection activeCell="B50" sqref="B50"/>
    </sheetView>
  </sheetViews>
  <sheetFormatPr defaultRowHeight="15" x14ac:dyDescent="0.25"/>
  <cols>
    <col min="1" max="1" width="10.85546875" customWidth="1"/>
    <col min="2" max="2" width="43.28515625" bestFit="1" customWidth="1"/>
    <col min="3" max="3" width="15.85546875" hidden="1" customWidth="1"/>
    <col min="4" max="4" width="23.85546875" customWidth="1"/>
    <col min="5" max="5" width="21" bestFit="1" customWidth="1"/>
    <col min="6" max="6" width="22.85546875" hidden="1" customWidth="1"/>
    <col min="7" max="7" width="21.140625" bestFit="1" customWidth="1"/>
    <col min="8" max="8" width="20.42578125" bestFit="1" customWidth="1"/>
    <col min="9" max="9" width="21" hidden="1" customWidth="1"/>
    <col min="11" max="11" width="8.140625" bestFit="1" customWidth="1"/>
    <col min="12" max="12" width="14.7109375" bestFit="1" customWidth="1"/>
    <col min="13" max="13" width="5.7109375" customWidth="1"/>
    <col min="14" max="14" width="60.140625" bestFit="1" customWidth="1"/>
  </cols>
  <sheetData>
    <row r="1" spans="1:33" x14ac:dyDescent="0.25">
      <c r="A1" s="1" t="s">
        <v>0</v>
      </c>
      <c r="B1" s="1" t="s">
        <v>1</v>
      </c>
      <c r="C1" t="s">
        <v>2</v>
      </c>
      <c r="D1" s="1" t="s">
        <v>3</v>
      </c>
      <c r="E1" t="s">
        <v>4</v>
      </c>
      <c r="F1" s="1" t="s">
        <v>5</v>
      </c>
      <c r="G1" s="1" t="s">
        <v>6</v>
      </c>
      <c r="H1" s="1" t="s">
        <v>207</v>
      </c>
      <c r="I1" s="1" t="s">
        <v>8</v>
      </c>
      <c r="J1" s="1" t="s">
        <v>184</v>
      </c>
    </row>
    <row r="2" spans="1:33" hidden="1" x14ac:dyDescent="0.25">
      <c r="A2" s="1" t="s">
        <v>9</v>
      </c>
      <c r="B2" s="1" t="s">
        <v>10</v>
      </c>
      <c r="C2">
        <v>1968</v>
      </c>
      <c r="D2" s="1" t="s">
        <v>11</v>
      </c>
      <c r="E2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/>
    </row>
    <row r="3" spans="1:33" x14ac:dyDescent="0.25">
      <c r="A3" s="1" t="s">
        <v>9</v>
      </c>
      <c r="B3" s="1" t="s">
        <v>17</v>
      </c>
      <c r="C3">
        <v>1971</v>
      </c>
      <c r="D3" s="1" t="s">
        <v>11</v>
      </c>
      <c r="E3" t="s">
        <v>18</v>
      </c>
      <c r="F3" s="1" t="s">
        <v>19</v>
      </c>
      <c r="G3" s="1" t="s">
        <v>14</v>
      </c>
      <c r="H3" s="1" t="s">
        <v>20</v>
      </c>
      <c r="I3" s="1" t="s">
        <v>21</v>
      </c>
      <c r="J3" s="1" t="s">
        <v>185</v>
      </c>
      <c r="K3" s="1" t="s">
        <v>198</v>
      </c>
      <c r="N3" s="1" t="s">
        <v>203</v>
      </c>
      <c r="O3" s="1" t="s">
        <v>199</v>
      </c>
      <c r="R3" s="1" t="s">
        <v>203</v>
      </c>
      <c r="T3" s="1" t="s">
        <v>200</v>
      </c>
      <c r="W3" s="1" t="s">
        <v>203</v>
      </c>
      <c r="Y3" s="1" t="s">
        <v>6</v>
      </c>
      <c r="AB3" s="1" t="s">
        <v>203</v>
      </c>
      <c r="AD3" s="1" t="s">
        <v>201</v>
      </c>
      <c r="AG3" s="1" t="s">
        <v>203</v>
      </c>
    </row>
    <row r="4" spans="1:33" x14ac:dyDescent="0.25">
      <c r="A4" s="1" t="s">
        <v>9</v>
      </c>
      <c r="B4" s="1" t="s">
        <v>22</v>
      </c>
      <c r="C4">
        <v>1972</v>
      </c>
      <c r="D4" s="1" t="s">
        <v>23</v>
      </c>
      <c r="E4" t="s">
        <v>24</v>
      </c>
      <c r="F4" s="1" t="s">
        <v>25</v>
      </c>
      <c r="G4" s="1" t="s">
        <v>26</v>
      </c>
      <c r="H4" s="1" t="s">
        <v>27</v>
      </c>
      <c r="I4" s="1" t="s">
        <v>16</v>
      </c>
      <c r="J4" s="1" t="s">
        <v>185</v>
      </c>
    </row>
    <row r="5" spans="1:33" x14ac:dyDescent="0.25">
      <c r="A5" s="1" t="s">
        <v>9</v>
      </c>
      <c r="B5" s="1" t="s">
        <v>28</v>
      </c>
      <c r="C5">
        <v>1982</v>
      </c>
      <c r="D5" s="1" t="s">
        <v>11</v>
      </c>
      <c r="E5" t="s">
        <v>29</v>
      </c>
      <c r="F5" s="1" t="s">
        <v>30</v>
      </c>
      <c r="G5" s="1" t="s">
        <v>31</v>
      </c>
      <c r="H5" s="1" t="s">
        <v>32</v>
      </c>
      <c r="I5" s="1" t="s">
        <v>16</v>
      </c>
      <c r="J5" s="1" t="s">
        <v>185</v>
      </c>
      <c r="K5" s="1" t="s">
        <v>196</v>
      </c>
      <c r="L5" t="s">
        <v>197</v>
      </c>
      <c r="M5" s="1" t="s">
        <v>208</v>
      </c>
      <c r="O5" s="1" t="s">
        <v>196</v>
      </c>
      <c r="P5" s="1" t="s">
        <v>202</v>
      </c>
      <c r="Q5" s="1" t="s">
        <v>208</v>
      </c>
      <c r="R5" s="1"/>
      <c r="T5" s="1" t="s">
        <v>196</v>
      </c>
      <c r="U5" t="s">
        <v>205</v>
      </c>
      <c r="V5" s="1" t="s">
        <v>208</v>
      </c>
      <c r="W5" s="1"/>
      <c r="Y5" s="1" t="s">
        <v>196</v>
      </c>
      <c r="Z5" t="s">
        <v>206</v>
      </c>
      <c r="AA5" s="1" t="s">
        <v>208</v>
      </c>
      <c r="AB5" s="1"/>
      <c r="AD5" s="1" t="s">
        <v>196</v>
      </c>
      <c r="AE5" t="s">
        <v>204</v>
      </c>
      <c r="AF5" s="1" t="s">
        <v>208</v>
      </c>
    </row>
    <row r="6" spans="1:33" x14ac:dyDescent="0.25">
      <c r="A6" s="1" t="s">
        <v>9</v>
      </c>
      <c r="B6" s="1" t="s">
        <v>33</v>
      </c>
      <c r="C6">
        <v>1981</v>
      </c>
      <c r="D6" s="1" t="s">
        <v>34</v>
      </c>
      <c r="E6" t="s">
        <v>29</v>
      </c>
      <c r="F6" s="1" t="s">
        <v>35</v>
      </c>
      <c r="G6" s="1" t="s">
        <v>36</v>
      </c>
      <c r="H6" s="1" t="s">
        <v>37</v>
      </c>
      <c r="I6" s="1" t="s">
        <v>16</v>
      </c>
      <c r="J6" s="1" t="s">
        <v>185</v>
      </c>
      <c r="N6" t="str">
        <f>CONCATENATE(K$5,L$5,B3,M$5)</f>
        <v>CREATE (:Movie {title: "Laranja Mecânica"});</v>
      </c>
      <c r="O6" t="str">
        <f>CONCATENATE(O$5,P$5,B22,Q$5)</f>
        <v>CREATE (:Series {title: "Cosmos: Uma Odisseia no Espaço-Tempo"});</v>
      </c>
    </row>
    <row r="7" spans="1:33" hidden="1" x14ac:dyDescent="0.25">
      <c r="A7" s="1" t="s">
        <v>9</v>
      </c>
      <c r="B7" s="1" t="s">
        <v>38</v>
      </c>
      <c r="C7">
        <v>1987</v>
      </c>
      <c r="D7" s="1" t="s">
        <v>39</v>
      </c>
      <c r="E7" t="s">
        <v>40</v>
      </c>
      <c r="F7" s="1" t="s">
        <v>41</v>
      </c>
      <c r="G7" s="1" t="s">
        <v>42</v>
      </c>
      <c r="H7" s="1" t="s">
        <v>43</v>
      </c>
      <c r="I7" s="1" t="s">
        <v>44</v>
      </c>
    </row>
    <row r="8" spans="1:33" x14ac:dyDescent="0.25">
      <c r="A8" s="1" t="s">
        <v>9</v>
      </c>
      <c r="B8" s="1" t="s">
        <v>45</v>
      </c>
      <c r="C8">
        <v>2005</v>
      </c>
      <c r="D8" s="1" t="s">
        <v>46</v>
      </c>
      <c r="E8" t="s">
        <v>47</v>
      </c>
      <c r="F8" s="1" t="s">
        <v>48</v>
      </c>
      <c r="G8" s="1" t="s">
        <v>49</v>
      </c>
      <c r="H8" s="1" t="s">
        <v>50</v>
      </c>
      <c r="I8" s="1" t="s">
        <v>16</v>
      </c>
      <c r="J8" s="1" t="s">
        <v>185</v>
      </c>
      <c r="N8" t="str">
        <f t="shared" ref="N8:N11" si="0">CONCATENATE(K$5,L$5,B5,M$5)</f>
        <v>CREATE (:Movie {title: "Blade Runner: O Caçador de Androides"});</v>
      </c>
      <c r="O8" t="str">
        <f t="shared" ref="O8:O11" si="1">CONCATENATE(O$5,P$5,B24,Q$5)</f>
        <v>CREATE (:Series {title: "Black Mirror"});</v>
      </c>
    </row>
    <row r="9" spans="1:33" x14ac:dyDescent="0.25">
      <c r="A9" s="1" t="s">
        <v>9</v>
      </c>
      <c r="B9" s="1" t="s">
        <v>51</v>
      </c>
      <c r="C9">
        <v>2004</v>
      </c>
      <c r="D9" s="1" t="s">
        <v>39</v>
      </c>
      <c r="E9" t="s">
        <v>52</v>
      </c>
      <c r="F9" s="1" t="s">
        <v>53</v>
      </c>
      <c r="G9" s="1" t="s">
        <v>54</v>
      </c>
      <c r="H9" s="1" t="s">
        <v>55</v>
      </c>
      <c r="I9" s="1" t="s">
        <v>56</v>
      </c>
      <c r="J9" s="1" t="s">
        <v>185</v>
      </c>
      <c r="N9" t="str">
        <f t="shared" si="0"/>
        <v>CREATE (:Movie {title: "Os Caçadores da Arca Perdida"});</v>
      </c>
      <c r="O9" t="str">
        <f t="shared" si="1"/>
        <v>CREATE (:Series {title: "The Crown"});</v>
      </c>
    </row>
    <row r="10" spans="1:33" x14ac:dyDescent="0.25">
      <c r="A10" s="1" t="s">
        <v>9</v>
      </c>
      <c r="B10" s="1" t="s">
        <v>57</v>
      </c>
      <c r="C10">
        <v>2007</v>
      </c>
      <c r="D10" s="1" t="s">
        <v>23</v>
      </c>
      <c r="E10" t="s">
        <v>58</v>
      </c>
      <c r="F10" s="1" t="s">
        <v>59</v>
      </c>
      <c r="G10" s="1" t="s">
        <v>60</v>
      </c>
      <c r="H10" s="1" t="s">
        <v>61</v>
      </c>
      <c r="I10" s="1" t="s">
        <v>56</v>
      </c>
      <c r="J10" s="1" t="s">
        <v>185</v>
      </c>
      <c r="N10" t="str">
        <f t="shared" si="0"/>
        <v>CREATE (:Movie {title: "O Último Imperador"});</v>
      </c>
      <c r="O10" t="str">
        <f t="shared" si="1"/>
        <v>CREATE (:Series {title: "The Last of Us"});</v>
      </c>
    </row>
    <row r="11" spans="1:33" x14ac:dyDescent="0.25">
      <c r="A11" s="1" t="s">
        <v>9</v>
      </c>
      <c r="B11" s="1" t="s">
        <v>62</v>
      </c>
      <c r="C11">
        <v>2008</v>
      </c>
      <c r="D11" s="1" t="s">
        <v>63</v>
      </c>
      <c r="E11" t="s">
        <v>64</v>
      </c>
      <c r="F11" s="1" t="s">
        <v>65</v>
      </c>
      <c r="G11" s="1" t="s">
        <v>66</v>
      </c>
      <c r="H11" s="1" t="s">
        <v>67</v>
      </c>
      <c r="I11" s="1" t="s">
        <v>16</v>
      </c>
      <c r="J11" s="1" t="s">
        <v>185</v>
      </c>
      <c r="N11" t="str">
        <f t="shared" si="0"/>
        <v>CREATE (:Movie {title: "Cruzada"});</v>
      </c>
      <c r="O11" t="str">
        <f t="shared" si="1"/>
        <v>CREATE (:Series {title: "O Mandarim"});</v>
      </c>
    </row>
    <row r="12" spans="1:33" hidden="1" x14ac:dyDescent="0.25">
      <c r="A12" s="1" t="s">
        <v>9</v>
      </c>
      <c r="B12" s="1" t="s">
        <v>68</v>
      </c>
      <c r="C12">
        <v>2013</v>
      </c>
      <c r="D12" s="1" t="s">
        <v>11</v>
      </c>
      <c r="E12" t="s">
        <v>69</v>
      </c>
      <c r="F12" s="1" t="s">
        <v>70</v>
      </c>
      <c r="G12" s="1" t="s">
        <v>71</v>
      </c>
      <c r="H12" s="1" t="s">
        <v>72</v>
      </c>
      <c r="I12" s="1" t="s">
        <v>16</v>
      </c>
    </row>
    <row r="13" spans="1:33" x14ac:dyDescent="0.25">
      <c r="A13" s="1" t="s">
        <v>9</v>
      </c>
      <c r="B13" s="1" t="s">
        <v>73</v>
      </c>
      <c r="C13">
        <v>2006</v>
      </c>
      <c r="D13" s="1" t="s">
        <v>34</v>
      </c>
      <c r="E13" t="s">
        <v>74</v>
      </c>
      <c r="F13" s="1" t="s">
        <v>75</v>
      </c>
      <c r="G13" s="1" t="s">
        <v>76</v>
      </c>
      <c r="H13" s="1" t="s">
        <v>77</v>
      </c>
      <c r="I13" s="1" t="s">
        <v>16</v>
      </c>
      <c r="J13" s="1" t="s">
        <v>185</v>
      </c>
      <c r="N13" t="str">
        <f t="shared" ref="N13:N15" si="2">CONCATENATE(K$5,L$5,B10,M$5)</f>
        <v>CREATE (:Movie {title: "Tropa de Elite"});</v>
      </c>
      <c r="O13" t="str">
        <f t="shared" ref="O13:O15" si="3">CONCATENATE(O$5,P$5,B29,Q$5)</f>
        <v>CREATE (:Series {title: "Modern Love"});</v>
      </c>
    </row>
    <row r="14" spans="1:33" x14ac:dyDescent="0.25">
      <c r="A14" s="1" t="s">
        <v>9</v>
      </c>
      <c r="B14" s="1" t="s">
        <v>78</v>
      </c>
      <c r="C14">
        <v>2016</v>
      </c>
      <c r="D14" s="1" t="s">
        <v>11</v>
      </c>
      <c r="E14" t="s">
        <v>79</v>
      </c>
      <c r="F14" s="1" t="s">
        <v>80</v>
      </c>
      <c r="G14" s="1" t="s">
        <v>81</v>
      </c>
      <c r="H14" s="1" t="s">
        <v>187</v>
      </c>
      <c r="I14" s="1" t="s">
        <v>16</v>
      </c>
      <c r="J14" s="1" t="s">
        <v>185</v>
      </c>
      <c r="N14" t="str">
        <f t="shared" si="2"/>
        <v>CREATE (:Movie {title: "O Curioso Caso de Benjamin Button"});</v>
      </c>
      <c r="O14" t="str">
        <f t="shared" si="3"/>
        <v>CREATE (:Series {title: "Narcos"});</v>
      </c>
    </row>
    <row r="15" spans="1:33" x14ac:dyDescent="0.25">
      <c r="A15" s="1" t="s">
        <v>9</v>
      </c>
      <c r="B15" s="1" t="s">
        <v>82</v>
      </c>
      <c r="C15">
        <v>2002</v>
      </c>
      <c r="D15" s="1" t="s">
        <v>23</v>
      </c>
      <c r="E15" t="s">
        <v>83</v>
      </c>
      <c r="F15" s="1" t="s">
        <v>84</v>
      </c>
      <c r="G15" s="1" t="s">
        <v>85</v>
      </c>
      <c r="H15" s="1" t="s">
        <v>191</v>
      </c>
      <c r="I15" s="1" t="s">
        <v>56</v>
      </c>
      <c r="J15" s="1" t="s">
        <v>185</v>
      </c>
      <c r="N15" t="str">
        <f t="shared" si="2"/>
        <v>CREATE (:Movie {title: "Gravidade"});</v>
      </c>
      <c r="O15" t="str">
        <f t="shared" si="3"/>
        <v>CREATE (:Series {title: "O Gambito da Rainha"});</v>
      </c>
    </row>
    <row r="16" spans="1:33" hidden="1" x14ac:dyDescent="0.25">
      <c r="A16" s="1" t="s">
        <v>9</v>
      </c>
      <c r="B16" s="1" t="s">
        <v>86</v>
      </c>
      <c r="C16">
        <v>1998</v>
      </c>
      <c r="D16" s="1" t="s">
        <v>63</v>
      </c>
      <c r="E16" t="s">
        <v>87</v>
      </c>
      <c r="F16" s="1" t="s">
        <v>88</v>
      </c>
      <c r="G16" s="1" t="s">
        <v>54</v>
      </c>
      <c r="H16" s="1" t="s">
        <v>37</v>
      </c>
      <c r="I16" s="1" t="s">
        <v>56</v>
      </c>
    </row>
    <row r="17" spans="1:15" x14ac:dyDescent="0.25">
      <c r="A17" s="1" t="s">
        <v>9</v>
      </c>
      <c r="B17" s="1" t="s">
        <v>89</v>
      </c>
      <c r="C17">
        <v>2015</v>
      </c>
      <c r="D17" s="1" t="s">
        <v>34</v>
      </c>
      <c r="E17" t="s">
        <v>90</v>
      </c>
      <c r="F17" s="1" t="s">
        <v>91</v>
      </c>
      <c r="G17" s="1" t="s">
        <v>92</v>
      </c>
      <c r="H17" s="1" t="s">
        <v>189</v>
      </c>
      <c r="I17" s="1" t="s">
        <v>93</v>
      </c>
      <c r="J17" s="1" t="s">
        <v>185</v>
      </c>
      <c r="N17" t="str">
        <f t="shared" ref="N17:N18" si="4">CONCATENATE(K$5,L$5,B14,M$5)</f>
        <v>CREATE (:Movie {title: "A Chegada"});</v>
      </c>
      <c r="O17" t="str">
        <f t="shared" ref="O17:O18" si="5">CONCATENATE(O$5,P$5,B33,Q$5)</f>
        <v>CREATE (:Series {title: "Missão: Histórias de Amor que Ensinam a Amar"});</v>
      </c>
    </row>
    <row r="18" spans="1:15" x14ac:dyDescent="0.25">
      <c r="A18" s="1" t="s">
        <v>9</v>
      </c>
      <c r="B18" s="1" t="s">
        <v>94</v>
      </c>
      <c r="C18">
        <v>2016</v>
      </c>
      <c r="D18" s="1" t="s">
        <v>46</v>
      </c>
      <c r="E18" t="s">
        <v>95</v>
      </c>
      <c r="F18" s="1" t="s">
        <v>96</v>
      </c>
      <c r="G18" s="1" t="s">
        <v>97</v>
      </c>
      <c r="H18" s="1" t="s">
        <v>190</v>
      </c>
      <c r="I18" s="1" t="s">
        <v>16</v>
      </c>
      <c r="J18" s="1" t="s">
        <v>185</v>
      </c>
      <c r="N18" t="str">
        <f t="shared" si="4"/>
        <v>CREATE (:Movie {title: "Cidade de Deus"});</v>
      </c>
      <c r="O18" t="str">
        <f t="shared" si="5"/>
        <v>CREATE (:Series {title: "O Justiceiro"});</v>
      </c>
    </row>
    <row r="19" spans="1:15" hidden="1" x14ac:dyDescent="0.25">
      <c r="A19" s="1" t="s">
        <v>9</v>
      </c>
      <c r="B19" s="1" t="s">
        <v>98</v>
      </c>
      <c r="C19">
        <v>2019</v>
      </c>
      <c r="D19" s="1" t="s">
        <v>11</v>
      </c>
      <c r="E19" t="s">
        <v>99</v>
      </c>
      <c r="F19" s="1" t="s">
        <v>100</v>
      </c>
      <c r="G19" s="1" t="s">
        <v>101</v>
      </c>
      <c r="H19" s="1" t="s">
        <v>43</v>
      </c>
      <c r="I19" s="1" t="s">
        <v>102</v>
      </c>
    </row>
    <row r="20" spans="1:15" hidden="1" x14ac:dyDescent="0.25">
      <c r="A20" s="1" t="s">
        <v>9</v>
      </c>
      <c r="B20" s="1" t="s">
        <v>103</v>
      </c>
      <c r="C20">
        <v>2021</v>
      </c>
      <c r="D20" s="1" t="s">
        <v>11</v>
      </c>
      <c r="E20" t="s">
        <v>104</v>
      </c>
      <c r="F20" s="1" t="s">
        <v>105</v>
      </c>
      <c r="G20" s="1" t="s">
        <v>81</v>
      </c>
      <c r="H20" s="1" t="s">
        <v>61</v>
      </c>
      <c r="I20" s="1" t="s">
        <v>16</v>
      </c>
    </row>
    <row r="21" spans="1:15" x14ac:dyDescent="0.25">
      <c r="A21" s="1" t="s">
        <v>9</v>
      </c>
      <c r="B21" s="1" t="s">
        <v>106</v>
      </c>
      <c r="C21">
        <v>2022</v>
      </c>
      <c r="D21" s="1" t="s">
        <v>34</v>
      </c>
      <c r="E21" t="s">
        <v>107</v>
      </c>
      <c r="F21" s="1" t="s">
        <v>108</v>
      </c>
      <c r="G21" s="1" t="s">
        <v>109</v>
      </c>
      <c r="H21" s="1" t="s">
        <v>188</v>
      </c>
      <c r="I21" s="1" t="s">
        <v>16</v>
      </c>
      <c r="J21" s="1" t="s">
        <v>185</v>
      </c>
      <c r="N21" t="str">
        <f t="shared" ref="N21:N22" si="6">CONCATENATE(K$5,L$5,B18,M$5)</f>
        <v>CREATE (:Movie {title: "O Silêncio"});</v>
      </c>
      <c r="O21" t="str">
        <f t="shared" ref="O21:O22" si="7">CONCATENATE(O$5,P$5,B37,Q$5)</f>
        <v>CREATE (:Series {title: "Dark"});</v>
      </c>
    </row>
    <row r="22" spans="1:15" x14ac:dyDescent="0.25">
      <c r="A22" s="1" t="s">
        <v>110</v>
      </c>
      <c r="B22" s="1" t="s">
        <v>111</v>
      </c>
      <c r="C22">
        <v>2014</v>
      </c>
      <c r="D22" s="1" t="s">
        <v>39</v>
      </c>
      <c r="E22" t="s">
        <v>112</v>
      </c>
      <c r="F22" s="1" t="s">
        <v>113</v>
      </c>
      <c r="G22" s="1" t="s">
        <v>114</v>
      </c>
      <c r="H22" s="1" t="s">
        <v>192</v>
      </c>
      <c r="I22" s="1" t="s">
        <v>16</v>
      </c>
      <c r="J22" s="1" t="s">
        <v>185</v>
      </c>
      <c r="N22" t="str">
        <f t="shared" si="6"/>
        <v>CREATE (:Movie {title: "O Poço"});</v>
      </c>
      <c r="O22" t="str">
        <f t="shared" si="7"/>
        <v>CREATE (:Series {title: "Line of Duty"});</v>
      </c>
    </row>
    <row r="23" spans="1:15" hidden="1" x14ac:dyDescent="0.25">
      <c r="A23" s="1" t="s">
        <v>110</v>
      </c>
      <c r="B23" s="1" t="s">
        <v>115</v>
      </c>
      <c r="C23">
        <v>2008</v>
      </c>
      <c r="D23" s="1" t="s">
        <v>23</v>
      </c>
      <c r="E23" t="s">
        <v>116</v>
      </c>
      <c r="F23" s="1" t="s">
        <v>117</v>
      </c>
      <c r="G23" s="1" t="s">
        <v>118</v>
      </c>
      <c r="H23" s="1" t="s">
        <v>72</v>
      </c>
      <c r="I23" s="1" t="s">
        <v>16</v>
      </c>
      <c r="J23" s="1"/>
    </row>
    <row r="24" spans="1:15" x14ac:dyDescent="0.25">
      <c r="A24" s="1" t="s">
        <v>110</v>
      </c>
      <c r="B24" s="1" t="s">
        <v>119</v>
      </c>
      <c r="C24">
        <v>2011</v>
      </c>
      <c r="D24" s="1" t="s">
        <v>11</v>
      </c>
      <c r="E24" t="s">
        <v>120</v>
      </c>
      <c r="F24" s="1" t="s">
        <v>113</v>
      </c>
      <c r="G24" s="1" t="s">
        <v>121</v>
      </c>
      <c r="H24" s="1" t="s">
        <v>193</v>
      </c>
      <c r="I24" s="1" t="s">
        <v>21</v>
      </c>
      <c r="J24" s="1" t="s">
        <v>185</v>
      </c>
      <c r="N24" t="str">
        <f>CONCATENATE(K$5,L$5,B21,M$5)</f>
        <v>CREATE (:Movie {title: "Top Gun: Maverick"});</v>
      </c>
      <c r="O24" t="str">
        <f>CONCATENATE(O$5,P$5,B40,Q$5)</f>
        <v>CREATE (:Series {title: "When They See Us"});</v>
      </c>
    </row>
    <row r="25" spans="1:15" hidden="1" x14ac:dyDescent="0.25">
      <c r="A25" s="1" t="s">
        <v>110</v>
      </c>
      <c r="B25" s="1" t="s">
        <v>122</v>
      </c>
      <c r="C25">
        <v>2016</v>
      </c>
      <c r="D25" s="1" t="s">
        <v>39</v>
      </c>
      <c r="E25" t="s">
        <v>123</v>
      </c>
      <c r="F25" s="1" t="s">
        <v>124</v>
      </c>
      <c r="G25" s="1" t="s">
        <v>125</v>
      </c>
      <c r="H25" s="1" t="s">
        <v>20</v>
      </c>
      <c r="I25" s="1" t="s">
        <v>21</v>
      </c>
    </row>
    <row r="26" spans="1:15" x14ac:dyDescent="0.25">
      <c r="A26" s="1" t="s">
        <v>110</v>
      </c>
      <c r="B26" s="1" t="s">
        <v>126</v>
      </c>
      <c r="C26">
        <v>2023</v>
      </c>
      <c r="D26" s="1" t="s">
        <v>34</v>
      </c>
      <c r="E26" t="s">
        <v>127</v>
      </c>
      <c r="F26" s="1" t="s">
        <v>128</v>
      </c>
      <c r="G26" s="1" t="s">
        <v>129</v>
      </c>
      <c r="H26" s="1" t="s">
        <v>194</v>
      </c>
      <c r="I26" s="1" t="s">
        <v>16</v>
      </c>
      <c r="J26" s="1" t="s">
        <v>185</v>
      </c>
      <c r="N26" t="str">
        <f>CONCATENATE(K$5,L$5,B23,M$5)</f>
        <v>CREATE (:Movie {title: "Breaking Bad"});</v>
      </c>
      <c r="O26" t="str">
        <f>CONCATENATE(O$5,P$5,B41,Q$5)</f>
        <v>CREATE (:Series {title: "Outlander"});</v>
      </c>
    </row>
    <row r="27" spans="1:15" hidden="1" x14ac:dyDescent="0.25">
      <c r="A27" s="1" t="s">
        <v>110</v>
      </c>
      <c r="B27" s="1" t="s">
        <v>130</v>
      </c>
      <c r="C27">
        <v>2021</v>
      </c>
      <c r="D27" s="1" t="s">
        <v>23</v>
      </c>
      <c r="E27" t="s">
        <v>131</v>
      </c>
      <c r="F27" s="1" t="s">
        <v>113</v>
      </c>
      <c r="G27" s="1" t="s">
        <v>132</v>
      </c>
      <c r="H27" s="1" t="s">
        <v>37</v>
      </c>
      <c r="I27" s="1" t="s">
        <v>133</v>
      </c>
    </row>
    <row r="28" spans="1:15" x14ac:dyDescent="0.25">
      <c r="A28" s="1" t="s">
        <v>110</v>
      </c>
      <c r="B28" s="1" t="s">
        <v>134</v>
      </c>
      <c r="C28">
        <v>2017</v>
      </c>
      <c r="D28" s="1" t="s">
        <v>46</v>
      </c>
      <c r="E28" t="s">
        <v>135</v>
      </c>
      <c r="F28" s="1" t="s">
        <v>136</v>
      </c>
      <c r="G28" s="1" t="s">
        <v>137</v>
      </c>
      <c r="H28" s="1" t="s">
        <v>195</v>
      </c>
      <c r="I28" s="1" t="s">
        <v>16</v>
      </c>
      <c r="J28" s="1" t="s">
        <v>185</v>
      </c>
      <c r="N28" t="str">
        <f>CONCATENATE(K$5,L$5,B25,M$5)</f>
        <v>CREATE (:Movie {title: "The Crown"});</v>
      </c>
      <c r="O28" t="str">
        <f>CONCATENATE(O$5,P$5,B44,Q$5)</f>
        <v>CREATE (:Series {title: ""});</v>
      </c>
    </row>
    <row r="29" spans="1:15" hidden="1" x14ac:dyDescent="0.25">
      <c r="A29" s="1" t="s">
        <v>110</v>
      </c>
      <c r="B29" s="1" t="s">
        <v>138</v>
      </c>
      <c r="C29">
        <v>2019</v>
      </c>
      <c r="D29" s="1" t="s">
        <v>63</v>
      </c>
      <c r="E29" t="s">
        <v>139</v>
      </c>
      <c r="F29" s="1" t="s">
        <v>113</v>
      </c>
      <c r="G29" s="1" t="s">
        <v>140</v>
      </c>
      <c r="H29" s="1" t="s">
        <v>32</v>
      </c>
      <c r="I29" s="1" t="s">
        <v>16</v>
      </c>
    </row>
    <row r="30" spans="1:15" hidden="1" x14ac:dyDescent="0.25">
      <c r="A30" s="1" t="s">
        <v>110</v>
      </c>
      <c r="B30" s="1" t="s">
        <v>141</v>
      </c>
      <c r="C30">
        <v>2015</v>
      </c>
      <c r="D30" s="1" t="s">
        <v>23</v>
      </c>
      <c r="E30" t="s">
        <v>58</v>
      </c>
      <c r="F30" s="1" t="s">
        <v>142</v>
      </c>
      <c r="G30" s="1" t="s">
        <v>60</v>
      </c>
      <c r="H30" s="1" t="s">
        <v>43</v>
      </c>
      <c r="I30" s="1" t="s">
        <v>16</v>
      </c>
    </row>
    <row r="31" spans="1:15" hidden="1" x14ac:dyDescent="0.25">
      <c r="A31" s="1" t="s">
        <v>110</v>
      </c>
      <c r="B31" s="1" t="s">
        <v>143</v>
      </c>
      <c r="C31">
        <v>2020</v>
      </c>
      <c r="D31" s="1" t="s">
        <v>144</v>
      </c>
      <c r="E31" t="s">
        <v>145</v>
      </c>
      <c r="F31" s="1" t="s">
        <v>146</v>
      </c>
      <c r="G31" s="1" t="s">
        <v>147</v>
      </c>
      <c r="H31" s="1" t="s">
        <v>61</v>
      </c>
      <c r="I31" s="1" t="s">
        <v>16</v>
      </c>
    </row>
    <row r="32" spans="1:15" hidden="1" x14ac:dyDescent="0.25">
      <c r="A32" s="1" t="s">
        <v>110</v>
      </c>
      <c r="B32" s="1" t="s">
        <v>148</v>
      </c>
      <c r="C32">
        <v>2016</v>
      </c>
      <c r="D32" s="1" t="s">
        <v>11</v>
      </c>
      <c r="E32" t="s">
        <v>149</v>
      </c>
      <c r="F32" s="1" t="s">
        <v>150</v>
      </c>
      <c r="G32" s="1" t="s">
        <v>151</v>
      </c>
      <c r="H32" s="1" t="s">
        <v>55</v>
      </c>
      <c r="I32" s="1" t="s">
        <v>16</v>
      </c>
    </row>
    <row r="33" spans="1:15" hidden="1" x14ac:dyDescent="0.25">
      <c r="A33" s="1" t="s">
        <v>110</v>
      </c>
      <c r="B33" s="1" t="s">
        <v>152</v>
      </c>
      <c r="C33">
        <v>2022</v>
      </c>
      <c r="D33" s="1" t="s">
        <v>46</v>
      </c>
      <c r="E33" t="s">
        <v>113</v>
      </c>
      <c r="F33" s="1" t="s">
        <v>113</v>
      </c>
      <c r="G33" s="1" t="s">
        <v>113</v>
      </c>
      <c r="H33" s="1" t="s">
        <v>67</v>
      </c>
      <c r="I33" s="1" t="s">
        <v>56</v>
      </c>
    </row>
    <row r="34" spans="1:15" hidden="1" x14ac:dyDescent="0.25">
      <c r="A34" s="1" t="s">
        <v>110</v>
      </c>
      <c r="B34" s="1" t="s">
        <v>153</v>
      </c>
      <c r="C34">
        <v>2017</v>
      </c>
      <c r="D34" s="1" t="s">
        <v>34</v>
      </c>
      <c r="E34" t="s">
        <v>154</v>
      </c>
      <c r="F34" s="1" t="s">
        <v>155</v>
      </c>
      <c r="G34" s="1" t="s">
        <v>156</v>
      </c>
      <c r="H34" s="1" t="s">
        <v>72</v>
      </c>
      <c r="I34" s="1" t="s">
        <v>16</v>
      </c>
    </row>
    <row r="35" spans="1:15" hidden="1" x14ac:dyDescent="0.25">
      <c r="A35" s="1" t="s">
        <v>110</v>
      </c>
      <c r="B35" s="1" t="s">
        <v>157</v>
      </c>
      <c r="C35">
        <v>2017</v>
      </c>
      <c r="D35" s="1" t="s">
        <v>63</v>
      </c>
      <c r="E35" t="s">
        <v>158</v>
      </c>
      <c r="F35" s="1" t="s">
        <v>159</v>
      </c>
      <c r="G35" s="1" t="s">
        <v>160</v>
      </c>
      <c r="H35" s="1" t="s">
        <v>20</v>
      </c>
      <c r="I35" s="1" t="s">
        <v>16</v>
      </c>
    </row>
    <row r="36" spans="1:15" hidden="1" x14ac:dyDescent="0.25">
      <c r="A36" s="1" t="s">
        <v>110</v>
      </c>
      <c r="B36" s="1" t="s">
        <v>161</v>
      </c>
      <c r="C36">
        <v>2015</v>
      </c>
      <c r="D36" s="1" t="s">
        <v>39</v>
      </c>
      <c r="E36" t="s">
        <v>113</v>
      </c>
      <c r="F36" s="1" t="s">
        <v>113</v>
      </c>
      <c r="G36" s="1" t="s">
        <v>162</v>
      </c>
      <c r="H36" s="1" t="s">
        <v>77</v>
      </c>
      <c r="I36" s="1" t="s">
        <v>16</v>
      </c>
    </row>
    <row r="37" spans="1:15" hidden="1" x14ac:dyDescent="0.25">
      <c r="A37" s="1" t="s">
        <v>110</v>
      </c>
      <c r="B37" s="1" t="s">
        <v>163</v>
      </c>
      <c r="C37">
        <v>2017</v>
      </c>
      <c r="D37" s="1" t="s">
        <v>11</v>
      </c>
      <c r="E37" t="s">
        <v>164</v>
      </c>
      <c r="F37" s="1" t="s">
        <v>165</v>
      </c>
      <c r="G37" s="1" t="s">
        <v>166</v>
      </c>
      <c r="H37" s="1" t="s">
        <v>27</v>
      </c>
      <c r="I37" s="1" t="s">
        <v>167</v>
      </c>
    </row>
    <row r="38" spans="1:15" hidden="1" x14ac:dyDescent="0.25">
      <c r="A38" s="1" t="s">
        <v>110</v>
      </c>
      <c r="B38" s="1" t="s">
        <v>168</v>
      </c>
      <c r="C38">
        <v>2012</v>
      </c>
      <c r="D38" s="1" t="s">
        <v>23</v>
      </c>
      <c r="E38" t="s">
        <v>169</v>
      </c>
      <c r="F38" s="1" t="s">
        <v>170</v>
      </c>
      <c r="G38" s="1" t="s">
        <v>171</v>
      </c>
      <c r="H38" s="1" t="s">
        <v>37</v>
      </c>
      <c r="I38" s="1" t="s">
        <v>21</v>
      </c>
    </row>
    <row r="39" spans="1:15" hidden="1" x14ac:dyDescent="0.25">
      <c r="A39" s="1" t="s">
        <v>110</v>
      </c>
      <c r="B39" s="1" t="s">
        <v>172</v>
      </c>
      <c r="C39">
        <v>2015</v>
      </c>
      <c r="D39" s="1" t="s">
        <v>11</v>
      </c>
      <c r="E39" t="s">
        <v>173</v>
      </c>
      <c r="F39" s="1" t="s">
        <v>174</v>
      </c>
      <c r="G39" s="1" t="s">
        <v>175</v>
      </c>
      <c r="H39" s="1" t="s">
        <v>32</v>
      </c>
      <c r="I39" s="1" t="s">
        <v>16</v>
      </c>
    </row>
    <row r="40" spans="1:15" hidden="1" x14ac:dyDescent="0.25">
      <c r="A40" s="1" t="s">
        <v>110</v>
      </c>
      <c r="B40" s="1" t="s">
        <v>176</v>
      </c>
      <c r="C40">
        <v>2019</v>
      </c>
      <c r="D40" s="1" t="s">
        <v>39</v>
      </c>
      <c r="E40" t="s">
        <v>177</v>
      </c>
      <c r="F40" s="1" t="s">
        <v>113</v>
      </c>
      <c r="G40" s="1" t="s">
        <v>178</v>
      </c>
      <c r="H40" s="1" t="s">
        <v>50</v>
      </c>
      <c r="I40" s="1" t="s">
        <v>16</v>
      </c>
    </row>
    <row r="41" spans="1:15" x14ac:dyDescent="0.25">
      <c r="A41" s="1" t="s">
        <v>110</v>
      </c>
      <c r="B41" s="1" t="s">
        <v>179</v>
      </c>
      <c r="C41">
        <v>2014</v>
      </c>
      <c r="D41" s="1" t="s">
        <v>63</v>
      </c>
      <c r="E41" t="s">
        <v>180</v>
      </c>
      <c r="F41" s="1" t="s">
        <v>181</v>
      </c>
      <c r="G41" s="1" t="s">
        <v>182</v>
      </c>
      <c r="H41" s="1" t="s">
        <v>43</v>
      </c>
      <c r="I41" s="1" t="s">
        <v>16</v>
      </c>
      <c r="J41" s="1" t="s">
        <v>185</v>
      </c>
      <c r="N41" t="str">
        <f>CONCATENATE(K$5,L$5,B38,M$5)</f>
        <v>CREATE (:Movie {title: "Line of Duty"});</v>
      </c>
      <c r="O41" t="str">
        <f>CONCATENATE(O$5,P$5,B57,Q$5)</f>
        <v>CREATE (:Series {title: ""});</v>
      </c>
    </row>
    <row r="45" spans="1:15" x14ac:dyDescent="0.25">
      <c r="B45" s="2" t="s">
        <v>183</v>
      </c>
    </row>
  </sheetData>
  <autoFilter ref="A1:J41" xr:uid="{1E7D0DDC-A9B3-45A0-B602-A29EA88ED08E}">
    <filterColumn colId="9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0EC0F-0AA1-4C36-9734-7F86AAAE7C71}">
  <dimension ref="A1:F13"/>
  <sheetViews>
    <sheetView workbookViewId="0">
      <selection activeCell="D21" sqref="D2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3</v>
      </c>
      <c r="D1" t="s">
        <v>4</v>
      </c>
      <c r="E1" s="1" t="s">
        <v>6</v>
      </c>
      <c r="F1" s="1" t="s">
        <v>7</v>
      </c>
    </row>
    <row r="2" spans="1:6" x14ac:dyDescent="0.25">
      <c r="A2" s="1" t="s">
        <v>9</v>
      </c>
      <c r="B2" s="1" t="s">
        <v>17</v>
      </c>
      <c r="C2" s="1" t="s">
        <v>11</v>
      </c>
      <c r="D2" t="s">
        <v>18</v>
      </c>
      <c r="E2" s="1" t="s">
        <v>14</v>
      </c>
      <c r="F2" s="1" t="s">
        <v>20</v>
      </c>
    </row>
    <row r="3" spans="1:6" x14ac:dyDescent="0.25">
      <c r="A3" s="1" t="s">
        <v>9</v>
      </c>
      <c r="B3" s="1" t="s">
        <v>33</v>
      </c>
      <c r="C3" s="1" t="s">
        <v>34</v>
      </c>
      <c r="D3" t="s">
        <v>29</v>
      </c>
      <c r="E3" s="1" t="s">
        <v>36</v>
      </c>
      <c r="F3" s="1" t="s">
        <v>37</v>
      </c>
    </row>
    <row r="4" spans="1:6" x14ac:dyDescent="0.25">
      <c r="A4" s="1" t="s">
        <v>9</v>
      </c>
      <c r="B4" s="1" t="s">
        <v>38</v>
      </c>
      <c r="C4" s="1" t="s">
        <v>39</v>
      </c>
      <c r="D4" t="s">
        <v>40</v>
      </c>
      <c r="E4" s="1" t="s">
        <v>42</v>
      </c>
      <c r="F4" s="1" t="s">
        <v>43</v>
      </c>
    </row>
    <row r="5" spans="1:6" x14ac:dyDescent="0.25">
      <c r="A5" s="1" t="s">
        <v>9</v>
      </c>
      <c r="B5" s="1" t="s">
        <v>78</v>
      </c>
      <c r="C5" s="1" t="s">
        <v>11</v>
      </c>
      <c r="D5" t="s">
        <v>79</v>
      </c>
      <c r="E5" s="1" t="s">
        <v>81</v>
      </c>
      <c r="F5" s="1" t="s">
        <v>20</v>
      </c>
    </row>
    <row r="6" spans="1:6" x14ac:dyDescent="0.25">
      <c r="A6" s="1" t="s">
        <v>9</v>
      </c>
      <c r="B6" s="1" t="s">
        <v>86</v>
      </c>
      <c r="C6" s="1" t="s">
        <v>63</v>
      </c>
      <c r="D6" t="s">
        <v>87</v>
      </c>
      <c r="E6" s="1" t="s">
        <v>54</v>
      </c>
      <c r="F6" s="1" t="s">
        <v>37</v>
      </c>
    </row>
    <row r="7" spans="1:6" x14ac:dyDescent="0.25">
      <c r="A7" s="1" t="s">
        <v>9</v>
      </c>
      <c r="B7" s="1" t="s">
        <v>98</v>
      </c>
      <c r="C7" s="1" t="s">
        <v>11</v>
      </c>
      <c r="D7" t="s">
        <v>99</v>
      </c>
      <c r="E7" s="1" t="s">
        <v>101</v>
      </c>
      <c r="F7" s="1" t="s">
        <v>43</v>
      </c>
    </row>
    <row r="8" spans="1:6" x14ac:dyDescent="0.25">
      <c r="A8" s="1" t="s">
        <v>110</v>
      </c>
      <c r="B8" s="1" t="s">
        <v>122</v>
      </c>
      <c r="C8" s="1" t="s">
        <v>39</v>
      </c>
      <c r="D8" t="s">
        <v>123</v>
      </c>
      <c r="E8" s="1" t="s">
        <v>125</v>
      </c>
      <c r="F8" s="1" t="s">
        <v>20</v>
      </c>
    </row>
    <row r="9" spans="1:6" x14ac:dyDescent="0.25">
      <c r="A9" s="1" t="s">
        <v>110</v>
      </c>
      <c r="B9" s="1" t="s">
        <v>130</v>
      </c>
      <c r="C9" s="1" t="s">
        <v>23</v>
      </c>
      <c r="D9" t="s">
        <v>131</v>
      </c>
      <c r="E9" s="1" t="s">
        <v>132</v>
      </c>
      <c r="F9" s="1" t="s">
        <v>37</v>
      </c>
    </row>
    <row r="10" spans="1:6" x14ac:dyDescent="0.25">
      <c r="A10" s="1" t="s">
        <v>110</v>
      </c>
      <c r="B10" s="1" t="s">
        <v>141</v>
      </c>
      <c r="C10" s="1" t="s">
        <v>23</v>
      </c>
      <c r="D10" t="s">
        <v>58</v>
      </c>
      <c r="E10" s="1" t="s">
        <v>60</v>
      </c>
      <c r="F10" s="1" t="s">
        <v>43</v>
      </c>
    </row>
    <row r="11" spans="1:6" x14ac:dyDescent="0.25">
      <c r="A11" s="1" t="s">
        <v>110</v>
      </c>
      <c r="B11" s="1" t="s">
        <v>157</v>
      </c>
      <c r="C11" s="1" t="s">
        <v>63</v>
      </c>
      <c r="D11" t="s">
        <v>158</v>
      </c>
      <c r="E11" s="1" t="s">
        <v>160</v>
      </c>
      <c r="F11" s="1" t="s">
        <v>20</v>
      </c>
    </row>
    <row r="12" spans="1:6" x14ac:dyDescent="0.25">
      <c r="A12" s="1" t="s">
        <v>110</v>
      </c>
      <c r="B12" s="1" t="s">
        <v>168</v>
      </c>
      <c r="C12" s="1" t="s">
        <v>23</v>
      </c>
      <c r="D12" t="s">
        <v>169</v>
      </c>
      <c r="E12" s="1" t="s">
        <v>171</v>
      </c>
      <c r="F12" s="1" t="s">
        <v>37</v>
      </c>
    </row>
    <row r="13" spans="1:6" x14ac:dyDescent="0.25">
      <c r="A13" s="1" t="s">
        <v>110</v>
      </c>
      <c r="B13" s="1" t="s">
        <v>179</v>
      </c>
      <c r="C13" s="1" t="s">
        <v>63</v>
      </c>
      <c r="D13" t="s">
        <v>180</v>
      </c>
      <c r="E13" s="1" t="s">
        <v>182</v>
      </c>
      <c r="F13" s="1" t="s">
        <v>43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97AB5-A5E9-426D-A5A0-8ADD86E45270}">
  <dimension ref="A2:AP23"/>
  <sheetViews>
    <sheetView workbookViewId="0">
      <selection activeCell="AN3" sqref="AN3:AP5"/>
    </sheetView>
  </sheetViews>
  <sheetFormatPr defaultRowHeight="15" x14ac:dyDescent="0.25"/>
  <cols>
    <col min="1" max="1" width="6" bestFit="1" customWidth="1"/>
    <col min="2" max="2" width="37.7109375" bestFit="1" customWidth="1"/>
    <col min="3" max="3" width="19.5703125" bestFit="1" customWidth="1"/>
    <col min="4" max="4" width="19.7109375" bestFit="1" customWidth="1"/>
    <col min="5" max="5" width="19.5703125" bestFit="1" customWidth="1"/>
    <col min="6" max="6" width="20.42578125" bestFit="1" customWidth="1"/>
    <col min="8" max="9" width="0" hidden="1" customWidth="1"/>
    <col min="10" max="10" width="4.42578125" hidden="1" customWidth="1"/>
    <col min="11" max="11" width="40.7109375" hidden="1" customWidth="1"/>
    <col min="12" max="12" width="3.42578125" hidden="1" customWidth="1"/>
    <col min="13" max="14" width="0" hidden="1" customWidth="1"/>
    <col min="15" max="15" width="5.28515625" hidden="1" customWidth="1"/>
    <col min="16" max="16" width="61.85546875" hidden="1" customWidth="1"/>
    <col min="17" max="17" width="3.5703125" hidden="1" customWidth="1"/>
    <col min="18" max="19" width="0" hidden="1" customWidth="1"/>
    <col min="20" max="20" width="4.42578125" hidden="1" customWidth="1"/>
    <col min="21" max="21" width="45.28515625" hidden="1" customWidth="1"/>
    <col min="22" max="22" width="3.5703125" hidden="1" customWidth="1"/>
    <col min="23" max="24" width="0" hidden="1" customWidth="1"/>
    <col min="25" max="25" width="4.42578125" hidden="1" customWidth="1"/>
    <col min="26" max="26" width="47.7109375" hidden="1" customWidth="1"/>
    <col min="27" max="27" width="3.28515625" hidden="1" customWidth="1"/>
    <col min="28" max="30" width="0" hidden="1" customWidth="1"/>
    <col min="31" max="31" width="45.28515625" hidden="1" customWidth="1"/>
    <col min="32" max="33" width="0" hidden="1" customWidth="1"/>
    <col min="34" max="34" width="23.42578125" hidden="1" customWidth="1"/>
    <col min="35" max="35" width="23.140625" hidden="1" customWidth="1"/>
    <col min="36" max="36" width="4.7109375" hidden="1" customWidth="1"/>
    <col min="37" max="37" width="28.7109375" hidden="1" customWidth="1"/>
    <col min="38" max="39" width="0" hidden="1" customWidth="1"/>
    <col min="40" max="40" width="25.5703125" bestFit="1" customWidth="1"/>
    <col min="41" max="41" width="19" bestFit="1" customWidth="1"/>
    <col min="42" max="42" width="31.42578125" bestFit="1" customWidth="1"/>
  </cols>
  <sheetData>
    <row r="2" spans="1:42" x14ac:dyDescent="0.25">
      <c r="H2" s="1" t="s">
        <v>198</v>
      </c>
      <c r="K2" s="1" t="s">
        <v>203</v>
      </c>
      <c r="M2" s="1" t="s">
        <v>199</v>
      </c>
      <c r="P2" s="1" t="s">
        <v>203</v>
      </c>
      <c r="R2" s="1" t="s">
        <v>200</v>
      </c>
      <c r="U2" s="1" t="s">
        <v>203</v>
      </c>
      <c r="W2" s="1" t="s">
        <v>6</v>
      </c>
      <c r="Z2" s="1" t="s">
        <v>203</v>
      </c>
      <c r="AB2" s="1" t="s">
        <v>201</v>
      </c>
      <c r="AE2" s="1" t="s">
        <v>203</v>
      </c>
      <c r="AH2" t="s">
        <v>209</v>
      </c>
    </row>
    <row r="3" spans="1:42" x14ac:dyDescent="0.25">
      <c r="AH3" t="s">
        <v>210</v>
      </c>
      <c r="AI3" t="s">
        <v>212</v>
      </c>
      <c r="AJ3" t="s">
        <v>213</v>
      </c>
      <c r="AK3" t="s">
        <v>211</v>
      </c>
      <c r="AN3" t="s">
        <v>214</v>
      </c>
    </row>
    <row r="4" spans="1:42" x14ac:dyDescent="0.25">
      <c r="A4" s="1" t="s">
        <v>0</v>
      </c>
      <c r="B4" s="1" t="s">
        <v>1</v>
      </c>
      <c r="C4" s="1" t="s">
        <v>3</v>
      </c>
      <c r="D4" t="s">
        <v>4</v>
      </c>
      <c r="E4" s="1" t="s">
        <v>6</v>
      </c>
      <c r="F4" s="1" t="s">
        <v>207</v>
      </c>
      <c r="G4" s="1" t="s">
        <v>184</v>
      </c>
      <c r="H4" s="1" t="s">
        <v>196</v>
      </c>
      <c r="I4" t="s">
        <v>197</v>
      </c>
      <c r="J4" s="1" t="s">
        <v>208</v>
      </c>
      <c r="M4" s="1" t="s">
        <v>196</v>
      </c>
      <c r="N4" s="1" t="s">
        <v>202</v>
      </c>
      <c r="O4" s="1" t="s">
        <v>208</v>
      </c>
      <c r="P4" s="1"/>
      <c r="R4" s="1" t="s">
        <v>196</v>
      </c>
      <c r="S4" t="s">
        <v>205</v>
      </c>
      <c r="T4" s="1" t="s">
        <v>208</v>
      </c>
      <c r="U4" s="1"/>
      <c r="W4" s="1" t="s">
        <v>196</v>
      </c>
      <c r="X4" t="s">
        <v>206</v>
      </c>
      <c r="Y4" s="1" t="s">
        <v>208</v>
      </c>
      <c r="Z4" s="1"/>
      <c r="AB4" s="1" t="s">
        <v>196</v>
      </c>
      <c r="AC4" t="s">
        <v>204</v>
      </c>
      <c r="AD4" s="1" t="s">
        <v>208</v>
      </c>
      <c r="AN4" t="s">
        <v>215</v>
      </c>
      <c r="AO4" t="s">
        <v>216</v>
      </c>
      <c r="AP4" s="2" t="s">
        <v>217</v>
      </c>
    </row>
    <row r="5" spans="1:42" x14ac:dyDescent="0.25">
      <c r="A5" s="1" t="s">
        <v>9</v>
      </c>
      <c r="B5" s="1" t="s">
        <v>17</v>
      </c>
      <c r="C5" s="1" t="s">
        <v>11</v>
      </c>
      <c r="D5" t="s">
        <v>18</v>
      </c>
      <c r="E5" s="1" t="s">
        <v>14</v>
      </c>
      <c r="F5" s="1" t="s">
        <v>20</v>
      </c>
      <c r="G5" s="1" t="s">
        <v>185</v>
      </c>
      <c r="K5" t="str">
        <f>CONCATENATE(H$4,I$4,B5,J$4)</f>
        <v>CREATE (:Movie {title: "Laranja Mecânica"});</v>
      </c>
      <c r="L5" t="s">
        <v>186</v>
      </c>
      <c r="U5" t="str">
        <f>CONCATENATE(R$4,S$4,D5,T$4)</f>
        <v>CREATE   (:Actor {name: "Malcolm McDowell"});</v>
      </c>
      <c r="Z5" t="str">
        <f>CONCATENATE(W$4,X$4,E5,Y$4)</f>
        <v>CREATE (:Director   {name: "Stanley Kubrick"});</v>
      </c>
      <c r="AE5" t="str">
        <f>CONCATENATE(AB$4,AC$4,F5,AD$4)</f>
        <v>CREATE   (:User {name: "Ana Silva"});</v>
      </c>
      <c r="AH5" t="str">
        <f t="shared" ref="AH5:AH18" si="0">CONCATENATE(AH$3,D5,AI$3, B5,AJ$3,AK$3)</f>
        <v>MATCH (a:Actor {name: "Malcolm McDowell"}), (m:Movie {title:  "Laranja Mecânica"})  CREATE (a)-[:ACTED_IN]-&gt;(m);</v>
      </c>
      <c r="AN5" t="str">
        <f>CONCATENATE(AN$4,E5,AO$4,B5,AP$4)</f>
        <v>MATCH (d:Director {name: "Stanley Kubrick"}),  (m:Movie {title: "Laranja Mecânica" })     CREATE (d)-[:DIRECTED]-&gt;(m);</v>
      </c>
    </row>
    <row r="6" spans="1:42" x14ac:dyDescent="0.25">
      <c r="A6" s="1" t="s">
        <v>9</v>
      </c>
      <c r="B6" s="1" t="s">
        <v>22</v>
      </c>
      <c r="C6" s="1" t="s">
        <v>23</v>
      </c>
      <c r="D6" t="s">
        <v>24</v>
      </c>
      <c r="E6" s="1" t="s">
        <v>26</v>
      </c>
      <c r="F6" s="1" t="s">
        <v>27</v>
      </c>
      <c r="G6" s="1" t="s">
        <v>185</v>
      </c>
      <c r="K6" t="str">
        <f t="shared" ref="K6:K18" si="1">CONCATENATE(H$4,I$4,B6,J$4)</f>
        <v>CREATE (:Movie {title: "O Poderoso Chefão"});</v>
      </c>
      <c r="L6" t="s">
        <v>186</v>
      </c>
      <c r="U6" t="str">
        <f t="shared" ref="U6:U23" si="2">CONCATENATE(R$4,S$4,D6,T$4)</f>
        <v>CREATE   (:Actor {name: "Al Pacino"});</v>
      </c>
      <c r="Z6" t="str">
        <f t="shared" ref="Z6:Z23" si="3">CONCATENATE(W$4,X$4,E6,Y$4)</f>
        <v>CREATE (:Director   {name: "Francis Ford Coppola"});</v>
      </c>
      <c r="AE6" t="str">
        <f t="shared" ref="AE6:AE23" si="4">CONCATENATE(AB$4,AC$4,F6,AD$4)</f>
        <v>CREATE   (:User {name: "João Mendes"});</v>
      </c>
      <c r="AH6" t="str">
        <f t="shared" si="0"/>
        <v>MATCH (a:Actor {name: "Al Pacino"}), (m:Movie {title:  "O Poderoso Chefão"})  CREATE (a)-[:ACTED_IN]-&gt;(m);</v>
      </c>
      <c r="AN6" t="str">
        <f t="shared" ref="AN6:AN23" si="5">CONCATENATE(AN$4,E6,AO$4,B6,AP$4)</f>
        <v>MATCH (d:Director {name: "Francis Ford Coppola"}),  (m:Movie {title: "O Poderoso Chefão" })     CREATE (d)-[:DIRECTED]-&gt;(m);</v>
      </c>
    </row>
    <row r="7" spans="1:42" x14ac:dyDescent="0.25">
      <c r="A7" s="1" t="s">
        <v>9</v>
      </c>
      <c r="B7" s="1" t="s">
        <v>28</v>
      </c>
      <c r="C7" s="1" t="s">
        <v>11</v>
      </c>
      <c r="D7" t="s">
        <v>29</v>
      </c>
      <c r="E7" s="1" t="s">
        <v>31</v>
      </c>
      <c r="F7" s="1" t="s">
        <v>32</v>
      </c>
      <c r="G7" s="1" t="s">
        <v>185</v>
      </c>
      <c r="K7" t="str">
        <f t="shared" si="1"/>
        <v>CREATE (:Movie {title: "Blade Runner: O Caçador de Androides"});</v>
      </c>
      <c r="L7" t="s">
        <v>186</v>
      </c>
      <c r="U7" t="str">
        <f t="shared" si="2"/>
        <v>CREATE   (:Actor {name: "Harrison Ford"});</v>
      </c>
      <c r="Z7" t="str">
        <f t="shared" si="3"/>
        <v>CREATE (:Director   {name: "Ridley Scott"});</v>
      </c>
      <c r="AE7" t="str">
        <f t="shared" si="4"/>
        <v>CREATE   (:User {name: "Pedro Santos"});</v>
      </c>
      <c r="AH7" t="str">
        <f t="shared" si="0"/>
        <v>MATCH (a:Actor {name: "Harrison Ford"}), (m:Movie {title:  "Blade Runner: O Caçador de Androides"})  CREATE (a)-[:ACTED_IN]-&gt;(m);</v>
      </c>
      <c r="AN7" t="str">
        <f t="shared" si="5"/>
        <v>MATCH (d:Director {name: "Ridley Scott"}),  (m:Movie {title: "Blade Runner: O Caçador de Androides" })     CREATE (d)-[:DIRECTED]-&gt;(m);</v>
      </c>
    </row>
    <row r="8" spans="1:42" x14ac:dyDescent="0.25">
      <c r="A8" s="1" t="s">
        <v>9</v>
      </c>
      <c r="B8" s="1" t="s">
        <v>33</v>
      </c>
      <c r="C8" s="1" t="s">
        <v>34</v>
      </c>
      <c r="D8" t="s">
        <v>29</v>
      </c>
      <c r="E8" s="1" t="s">
        <v>36</v>
      </c>
      <c r="F8" s="1" t="s">
        <v>37</v>
      </c>
      <c r="G8" s="1" t="s">
        <v>185</v>
      </c>
      <c r="K8" t="str">
        <f t="shared" si="1"/>
        <v>CREATE (:Movie {title: "Os Caçadores da Arca Perdida"});</v>
      </c>
      <c r="L8" t="s">
        <v>186</v>
      </c>
      <c r="U8" t="str">
        <f t="shared" si="2"/>
        <v>CREATE   (:Actor {name: "Harrison Ford"});</v>
      </c>
      <c r="Z8" t="str">
        <f t="shared" si="3"/>
        <v>CREATE (:Director   {name: "Steven Spielberg"});</v>
      </c>
      <c r="AE8" t="str">
        <f t="shared" si="4"/>
        <v>CREATE   (:User {name: "Carla Lima"});</v>
      </c>
      <c r="AH8" t="str">
        <f t="shared" si="0"/>
        <v>MATCH (a:Actor {name: "Harrison Ford"}), (m:Movie {title:  "Os Caçadores da Arca Perdida"})  CREATE (a)-[:ACTED_IN]-&gt;(m);</v>
      </c>
      <c r="AN8" t="str">
        <f t="shared" si="5"/>
        <v>MATCH (d:Director {name: "Steven Spielberg"}),  (m:Movie {title: "Os Caçadores da Arca Perdida" })     CREATE (d)-[:DIRECTED]-&gt;(m);</v>
      </c>
    </row>
    <row r="9" spans="1:42" x14ac:dyDescent="0.25">
      <c r="A9" s="1" t="s">
        <v>9</v>
      </c>
      <c r="B9" s="1" t="s">
        <v>45</v>
      </c>
      <c r="C9" s="1" t="s">
        <v>46</v>
      </c>
      <c r="D9" t="s">
        <v>47</v>
      </c>
      <c r="E9" s="1" t="s">
        <v>49</v>
      </c>
      <c r="F9" s="1" t="s">
        <v>50</v>
      </c>
      <c r="G9" s="1" t="s">
        <v>185</v>
      </c>
      <c r="K9" t="str">
        <f t="shared" si="1"/>
        <v>CREATE (:Movie {title: "Cruzada"});</v>
      </c>
      <c r="L9" t="s">
        <v>186</v>
      </c>
      <c r="U9" t="str">
        <f t="shared" si="2"/>
        <v>CREATE   (:Actor {name: "Jim Caviezel"});</v>
      </c>
      <c r="Z9" t="str">
        <f t="shared" si="3"/>
        <v>CREATE (:Director   {name: "Mel Gibson"});</v>
      </c>
      <c r="AE9" t="str">
        <f t="shared" si="4"/>
        <v>CREATE   (:User {name: "Maria Oliveira"});</v>
      </c>
      <c r="AH9" t="str">
        <f t="shared" si="0"/>
        <v>MATCH (a:Actor {name: "Jim Caviezel"}), (m:Movie {title:  "Cruzada"})  CREATE (a)-[:ACTED_IN]-&gt;(m);</v>
      </c>
      <c r="AN9" t="str">
        <f t="shared" si="5"/>
        <v>MATCH (d:Director {name: "Mel Gibson"}),  (m:Movie {title: "Cruzada" })     CREATE (d)-[:DIRECTED]-&gt;(m);</v>
      </c>
    </row>
    <row r="10" spans="1:42" x14ac:dyDescent="0.25">
      <c r="A10" s="1" t="s">
        <v>9</v>
      </c>
      <c r="B10" s="1" t="s">
        <v>51</v>
      </c>
      <c r="C10" s="1" t="s">
        <v>39</v>
      </c>
      <c r="D10" t="s">
        <v>52</v>
      </c>
      <c r="E10" s="1" t="s">
        <v>54</v>
      </c>
      <c r="F10" s="1" t="s">
        <v>55</v>
      </c>
      <c r="G10" s="1" t="s">
        <v>185</v>
      </c>
      <c r="K10" t="str">
        <f t="shared" si="1"/>
        <v>CREATE (:Movie {title: "Diários de Motocicleta"});</v>
      </c>
      <c r="L10" t="s">
        <v>186</v>
      </c>
      <c r="U10" t="str">
        <f t="shared" si="2"/>
        <v>CREATE   (:Actor {name: "Gael García Bernal"});</v>
      </c>
      <c r="Z10" t="str">
        <f t="shared" si="3"/>
        <v>CREATE (:Director   {name: "Walter Salles"});</v>
      </c>
      <c r="AE10" t="str">
        <f t="shared" si="4"/>
        <v>CREATE   (:User {name: "Paulo Rocha"});</v>
      </c>
      <c r="AH10" t="str">
        <f t="shared" si="0"/>
        <v>MATCH (a:Actor {name: "Gael García Bernal"}), (m:Movie {title:  "Diários de Motocicleta"})  CREATE (a)-[:ACTED_IN]-&gt;(m);</v>
      </c>
      <c r="AN10" t="str">
        <f t="shared" si="5"/>
        <v>MATCH (d:Director {name: "Walter Salles"}),  (m:Movie {title: "Diários de Motocicleta" })     CREATE (d)-[:DIRECTED]-&gt;(m);</v>
      </c>
    </row>
    <row r="11" spans="1:42" x14ac:dyDescent="0.25">
      <c r="A11" s="1" t="s">
        <v>9</v>
      </c>
      <c r="B11" s="1" t="s">
        <v>57</v>
      </c>
      <c r="C11" s="1" t="s">
        <v>23</v>
      </c>
      <c r="D11" t="s">
        <v>58</v>
      </c>
      <c r="E11" s="1" t="s">
        <v>60</v>
      </c>
      <c r="F11" s="1" t="s">
        <v>61</v>
      </c>
      <c r="G11" s="1" t="s">
        <v>185</v>
      </c>
      <c r="K11" t="str">
        <f t="shared" si="1"/>
        <v>CREATE (:Movie {title: "Tropa de Elite"});</v>
      </c>
      <c r="L11" t="s">
        <v>186</v>
      </c>
      <c r="U11" t="str">
        <f t="shared" si="2"/>
        <v>CREATE   (:Actor {name: "Wagner Moura"});</v>
      </c>
      <c r="Z11" t="str">
        <f t="shared" si="3"/>
        <v>CREATE (:Director   {name: "José Padilha"});</v>
      </c>
      <c r="AE11" t="str">
        <f t="shared" si="4"/>
        <v>CREATE   (:User {name: "Juliana Alves"});</v>
      </c>
      <c r="AH11" t="str">
        <f t="shared" si="0"/>
        <v>MATCH (a:Actor {name: "Wagner Moura"}), (m:Movie {title:  "Tropa de Elite"})  CREATE (a)-[:ACTED_IN]-&gt;(m);</v>
      </c>
      <c r="AN11" t="str">
        <f t="shared" si="5"/>
        <v>MATCH (d:Director {name: "José Padilha"}),  (m:Movie {title: "Tropa de Elite" })     CREATE (d)-[:DIRECTED]-&gt;(m);</v>
      </c>
    </row>
    <row r="12" spans="1:42" x14ac:dyDescent="0.25">
      <c r="A12" s="1" t="s">
        <v>9</v>
      </c>
      <c r="B12" s="1" t="s">
        <v>62</v>
      </c>
      <c r="C12" s="1" t="s">
        <v>63</v>
      </c>
      <c r="D12" t="s">
        <v>64</v>
      </c>
      <c r="E12" s="1" t="s">
        <v>66</v>
      </c>
      <c r="F12" s="1" t="s">
        <v>67</v>
      </c>
      <c r="G12" s="1" t="s">
        <v>185</v>
      </c>
      <c r="K12" t="str">
        <f t="shared" si="1"/>
        <v>CREATE (:Movie {title: "O Curioso Caso de Benjamin Button"});</v>
      </c>
      <c r="L12" t="s">
        <v>186</v>
      </c>
      <c r="U12" t="str">
        <f t="shared" si="2"/>
        <v>CREATE   (:Actor {name: "Brad Pitt"});</v>
      </c>
      <c r="Z12" t="str">
        <f t="shared" si="3"/>
        <v>CREATE (:Director   {name: "David Fincher"});</v>
      </c>
      <c r="AE12" t="str">
        <f t="shared" si="4"/>
        <v>CREATE   (:User {name: "Sofia Ribeiro"});</v>
      </c>
      <c r="AH12" t="str">
        <f t="shared" si="0"/>
        <v>MATCH (a:Actor {name: "Brad Pitt"}), (m:Movie {title:  "O Curioso Caso de Benjamin Button"})  CREATE (a)-[:ACTED_IN]-&gt;(m);</v>
      </c>
      <c r="AN12" t="str">
        <f t="shared" si="5"/>
        <v>MATCH (d:Director {name: "David Fincher"}),  (m:Movie {title: "O Curioso Caso de Benjamin Button" })     CREATE (d)-[:DIRECTED]-&gt;(m);</v>
      </c>
    </row>
    <row r="13" spans="1:42" x14ac:dyDescent="0.25">
      <c r="A13" s="1" t="s">
        <v>9</v>
      </c>
      <c r="B13" s="1" t="s">
        <v>73</v>
      </c>
      <c r="C13" s="1" t="s">
        <v>34</v>
      </c>
      <c r="D13" t="s">
        <v>74</v>
      </c>
      <c r="E13" s="1" t="s">
        <v>76</v>
      </c>
      <c r="F13" s="1" t="s">
        <v>77</v>
      </c>
      <c r="G13" s="1" t="s">
        <v>185</v>
      </c>
      <c r="K13" t="str">
        <f t="shared" si="1"/>
        <v>CREATE (:Movie {title: "Carros"});</v>
      </c>
      <c r="L13" t="s">
        <v>186</v>
      </c>
      <c r="U13" t="str">
        <f t="shared" si="2"/>
        <v>CREATE   (:Actor {name: "Owen Wilson (voz)"});</v>
      </c>
      <c r="Z13" t="str">
        <f t="shared" si="3"/>
        <v>CREATE (:Director   {name: "John Lasseter"});</v>
      </c>
      <c r="AE13" t="str">
        <f t="shared" si="4"/>
        <v>CREATE   (:User {name: "Lucas Martins"});</v>
      </c>
      <c r="AH13" t="str">
        <f t="shared" si="0"/>
        <v>MATCH (a:Actor {name: "Owen Wilson (voz)"}), (m:Movie {title:  "Carros"})  CREATE (a)-[:ACTED_IN]-&gt;(m);</v>
      </c>
      <c r="AN13" t="str">
        <f t="shared" si="5"/>
        <v>MATCH (d:Director {name: "John Lasseter"}),  (m:Movie {title: "Carros" })     CREATE (d)-[:DIRECTED]-&gt;(m);</v>
      </c>
    </row>
    <row r="14" spans="1:42" x14ac:dyDescent="0.25">
      <c r="A14" s="1" t="s">
        <v>9</v>
      </c>
      <c r="B14" s="1" t="s">
        <v>78</v>
      </c>
      <c r="C14" s="1" t="s">
        <v>11</v>
      </c>
      <c r="D14" t="s">
        <v>79</v>
      </c>
      <c r="E14" s="1" t="s">
        <v>81</v>
      </c>
      <c r="F14" s="1" t="s">
        <v>187</v>
      </c>
      <c r="G14" s="1" t="s">
        <v>185</v>
      </c>
      <c r="K14" t="str">
        <f t="shared" si="1"/>
        <v>CREATE (:Movie {title: "A Chegada"});</v>
      </c>
      <c r="L14" t="s">
        <v>186</v>
      </c>
      <c r="U14" t="str">
        <f t="shared" si="2"/>
        <v>CREATE   (:Actor {name: "Amy Adams"});</v>
      </c>
      <c r="Z14" t="str">
        <f t="shared" si="3"/>
        <v>CREATE (:Director   {name: "Denis Villeneuve"});</v>
      </c>
      <c r="AE14" t="str">
        <f t="shared" si="4"/>
        <v>CREATE   (:User {name: "Ana Carla Santos"});</v>
      </c>
      <c r="AH14" t="str">
        <f t="shared" si="0"/>
        <v>MATCH (a:Actor {name: "Amy Adams"}), (m:Movie {title:  "A Chegada"})  CREATE (a)-[:ACTED_IN]-&gt;(m);</v>
      </c>
      <c r="AN14" t="str">
        <f t="shared" si="5"/>
        <v>MATCH (d:Director {name: "Denis Villeneuve"}),  (m:Movie {title: "A Chegada" })     CREATE (d)-[:DIRECTED]-&gt;(m);</v>
      </c>
    </row>
    <row r="15" spans="1:42" x14ac:dyDescent="0.25">
      <c r="A15" s="1" t="s">
        <v>9</v>
      </c>
      <c r="B15" s="1" t="s">
        <v>82</v>
      </c>
      <c r="C15" s="1" t="s">
        <v>23</v>
      </c>
      <c r="D15" t="s">
        <v>83</v>
      </c>
      <c r="E15" s="1" t="s">
        <v>85</v>
      </c>
      <c r="F15" s="1" t="s">
        <v>191</v>
      </c>
      <c r="G15" s="1" t="s">
        <v>185</v>
      </c>
      <c r="K15" t="str">
        <f t="shared" si="1"/>
        <v>CREATE (:Movie {title: "Cidade de Deus"});</v>
      </c>
      <c r="L15" t="s">
        <v>186</v>
      </c>
      <c r="U15" t="str">
        <f t="shared" si="2"/>
        <v>CREATE   (:Actor {name: "Alexandre Rodrigues"});</v>
      </c>
      <c r="Z15" t="str">
        <f t="shared" si="3"/>
        <v>CREATE (:Director   {name: "Fernando Meirelles"});</v>
      </c>
      <c r="AE15" t="str">
        <f t="shared" si="4"/>
        <v>CREATE   (:User {name: "Mendes"});</v>
      </c>
      <c r="AH15" t="str">
        <f t="shared" si="0"/>
        <v>MATCH (a:Actor {name: "Alexandre Rodrigues"}), (m:Movie {title:  "Cidade de Deus"})  CREATE (a)-[:ACTED_IN]-&gt;(m);</v>
      </c>
      <c r="AN15" t="str">
        <f t="shared" si="5"/>
        <v>MATCH (d:Director {name: "Fernando Meirelles"}),  (m:Movie {title: "Cidade de Deus" })     CREATE (d)-[:DIRECTED]-&gt;(m);</v>
      </c>
    </row>
    <row r="16" spans="1:42" x14ac:dyDescent="0.25">
      <c r="A16" s="1" t="s">
        <v>9</v>
      </c>
      <c r="B16" s="1" t="s">
        <v>89</v>
      </c>
      <c r="C16" s="1" t="s">
        <v>34</v>
      </c>
      <c r="D16" t="s">
        <v>90</v>
      </c>
      <c r="E16" s="1" t="s">
        <v>92</v>
      </c>
      <c r="F16" s="1" t="s">
        <v>189</v>
      </c>
      <c r="G16" s="1" t="s">
        <v>185</v>
      </c>
      <c r="K16" t="str">
        <f t="shared" si="1"/>
        <v>CREATE (:Movie {title: "Mad Max: Estrada da Fúria"});</v>
      </c>
      <c r="L16" t="s">
        <v>186</v>
      </c>
      <c r="U16" t="str">
        <f t="shared" si="2"/>
        <v>CREATE   (:Actor {name: "Tom Hardy"});</v>
      </c>
      <c r="Z16" t="str">
        <f t="shared" si="3"/>
        <v>CREATE (:Director   {name: "George Miller"});</v>
      </c>
      <c r="AE16" t="str">
        <f t="shared" si="4"/>
        <v>CREATE   (:User {name: "Santos"});</v>
      </c>
      <c r="AH16" t="str">
        <f t="shared" si="0"/>
        <v>MATCH (a:Actor {name: "Tom Hardy"}), (m:Movie {title:  "Mad Max: Estrada da Fúria"})  CREATE (a)-[:ACTED_IN]-&gt;(m);</v>
      </c>
      <c r="AN16" t="str">
        <f t="shared" si="5"/>
        <v>MATCH (d:Director {name: "George Miller"}),  (m:Movie {title: "Mad Max: Estrada da Fúria" })     CREATE (d)-[:DIRECTED]-&gt;(m);</v>
      </c>
    </row>
    <row r="17" spans="1:40" x14ac:dyDescent="0.25">
      <c r="A17" s="1" t="s">
        <v>9</v>
      </c>
      <c r="B17" s="1" t="s">
        <v>94</v>
      </c>
      <c r="C17" s="1" t="s">
        <v>46</v>
      </c>
      <c r="D17" t="s">
        <v>95</v>
      </c>
      <c r="E17" s="1" t="s">
        <v>97</v>
      </c>
      <c r="F17" s="1" t="s">
        <v>190</v>
      </c>
      <c r="G17" s="1" t="s">
        <v>185</v>
      </c>
      <c r="K17" t="str">
        <f t="shared" si="1"/>
        <v>CREATE (:Movie {title: "O Silêncio"});</v>
      </c>
      <c r="L17" t="s">
        <v>186</v>
      </c>
      <c r="U17" t="str">
        <f t="shared" si="2"/>
        <v>CREATE   (:Actor {name: "Andrew Garfield"});</v>
      </c>
      <c r="Z17" t="str">
        <f t="shared" si="3"/>
        <v>CREATE (:Director   {name: "Martin Scorsese"});</v>
      </c>
      <c r="AE17" t="str">
        <f t="shared" si="4"/>
        <v>CREATE   (:User {name: "Oliveira"});</v>
      </c>
      <c r="AH17" t="str">
        <f t="shared" si="0"/>
        <v>MATCH (a:Actor {name: "Andrew Garfield"}), (m:Movie {title:  "O Silêncio"})  CREATE (a)-[:ACTED_IN]-&gt;(m);</v>
      </c>
      <c r="AN17" t="str">
        <f t="shared" si="5"/>
        <v>MATCH (d:Director {name: "Martin Scorsese"}),  (m:Movie {title: "O Silêncio" })     CREATE (d)-[:DIRECTED]-&gt;(m);</v>
      </c>
    </row>
    <row r="18" spans="1:40" x14ac:dyDescent="0.25">
      <c r="A18" s="1" t="s">
        <v>9</v>
      </c>
      <c r="B18" s="1" t="s">
        <v>106</v>
      </c>
      <c r="C18" s="1" t="s">
        <v>34</v>
      </c>
      <c r="D18" t="s">
        <v>107</v>
      </c>
      <c r="E18" s="1" t="s">
        <v>109</v>
      </c>
      <c r="F18" s="1" t="s">
        <v>188</v>
      </c>
      <c r="G18" s="1" t="s">
        <v>185</v>
      </c>
      <c r="K18" t="str">
        <f t="shared" si="1"/>
        <v>CREATE (:Movie {title: "Top Gun: Maverick"});</v>
      </c>
      <c r="L18" t="s">
        <v>186</v>
      </c>
      <c r="U18" t="str">
        <f t="shared" si="2"/>
        <v>CREATE   (:Actor {name: "Tom Cruise"});</v>
      </c>
      <c r="Z18" t="str">
        <f t="shared" si="3"/>
        <v>CREATE (:Director   {name: "Joseph Kosinski"});</v>
      </c>
      <c r="AE18" t="str">
        <f t="shared" si="4"/>
        <v>CREATE   (:User {name: "Rocha"});</v>
      </c>
      <c r="AH18" t="str">
        <f t="shared" si="0"/>
        <v>MATCH (a:Actor {name: "Tom Cruise"}), (m:Movie {title:  "Top Gun: Maverick"})  CREATE (a)-[:ACTED_IN]-&gt;(m);</v>
      </c>
      <c r="AN18" t="str">
        <f t="shared" si="5"/>
        <v>MATCH (d:Director {name: "Joseph Kosinski"}),  (m:Movie {title: "Top Gun: Maverick" })     CREATE (d)-[:DIRECTED]-&gt;(m);</v>
      </c>
    </row>
    <row r="19" spans="1:40" x14ac:dyDescent="0.25">
      <c r="A19" s="1" t="s">
        <v>110</v>
      </c>
      <c r="B19" s="1" t="s">
        <v>111</v>
      </c>
      <c r="C19" s="1" t="s">
        <v>39</v>
      </c>
      <c r="D19" t="s">
        <v>112</v>
      </c>
      <c r="E19" s="1" t="s">
        <v>114</v>
      </c>
      <c r="F19" s="1" t="s">
        <v>192</v>
      </c>
      <c r="G19" s="1" t="s">
        <v>185</v>
      </c>
      <c r="L19" t="s">
        <v>186</v>
      </c>
      <c r="P19" t="str">
        <f>CONCATENATE(M$4,N$4,B19,O$4)</f>
        <v>CREATE (:Series {title: "Cosmos: Uma Odisseia no Espaço-Tempo"});</v>
      </c>
      <c r="U19" t="str">
        <f t="shared" si="2"/>
        <v>CREATE   (:Actor {name: "Neil deGrasse Tyson"});</v>
      </c>
      <c r="Z19" t="str">
        <f t="shared" si="3"/>
        <v>CREATE (:Director   {name: "Brannon Braga"});</v>
      </c>
      <c r="AE19" t="str">
        <f t="shared" si="4"/>
        <v>CREATE   (:User {name: "Ribeiro"});</v>
      </c>
      <c r="AN19" t="str">
        <f t="shared" si="5"/>
        <v>MATCH (d:Director {name: "Brannon Braga"}),  (m:Movie {title: "Cosmos: Uma Odisseia no Espaço-Tempo" })     CREATE (d)-[:DIRECTED]-&gt;(m);</v>
      </c>
    </row>
    <row r="20" spans="1:40" x14ac:dyDescent="0.25">
      <c r="A20" s="1" t="s">
        <v>110</v>
      </c>
      <c r="B20" s="1" t="s">
        <v>119</v>
      </c>
      <c r="C20" s="1" t="s">
        <v>11</v>
      </c>
      <c r="D20" t="s">
        <v>120</v>
      </c>
      <c r="E20" s="1" t="s">
        <v>121</v>
      </c>
      <c r="F20" s="1" t="s">
        <v>193</v>
      </c>
      <c r="G20" s="1" t="s">
        <v>185</v>
      </c>
      <c r="L20" t="s">
        <v>186</v>
      </c>
      <c r="P20" t="str">
        <f t="shared" ref="P20:P23" si="6">CONCATENATE(M$4,N$4,B20,O$4)</f>
        <v>CREATE (:Series {title: "Black Mirror"});</v>
      </c>
      <c r="U20" t="str">
        <f t="shared" si="2"/>
        <v>CREATE   (:Actor {name: "Bryce Dallas Howard"});</v>
      </c>
      <c r="Z20" t="str">
        <f t="shared" si="3"/>
        <v>CREATE (:Director   {name: "Charlie Brooker"});</v>
      </c>
      <c r="AE20" t="str">
        <f t="shared" si="4"/>
        <v>CREATE   (:User {name: "Martins"});</v>
      </c>
      <c r="AN20" t="str">
        <f t="shared" si="5"/>
        <v>MATCH (d:Director {name: "Charlie Brooker"}),  (m:Movie {title: "Black Mirror" })     CREATE (d)-[:DIRECTED]-&gt;(m);</v>
      </c>
    </row>
    <row r="21" spans="1:40" x14ac:dyDescent="0.25">
      <c r="A21" s="1" t="s">
        <v>110</v>
      </c>
      <c r="B21" s="1" t="s">
        <v>126</v>
      </c>
      <c r="C21" s="1" t="s">
        <v>34</v>
      </c>
      <c r="D21" t="s">
        <v>127</v>
      </c>
      <c r="E21" s="1" t="s">
        <v>129</v>
      </c>
      <c r="F21" s="1" t="s">
        <v>194</v>
      </c>
      <c r="G21" s="1" t="s">
        <v>185</v>
      </c>
      <c r="P21" t="str">
        <f t="shared" si="6"/>
        <v>CREATE (:Series {title: "The Last of Us"});</v>
      </c>
      <c r="U21" t="str">
        <f t="shared" si="2"/>
        <v>CREATE   (:Actor {name: "Pedro Pascal"});</v>
      </c>
      <c r="Z21" t="str">
        <f t="shared" si="3"/>
        <v>CREATE (:Director   {name: "Craig Mazin"});</v>
      </c>
      <c r="AE21" t="str">
        <f t="shared" si="4"/>
        <v>CREATE   (:User {name: "Antônio João Mendes"});</v>
      </c>
      <c r="AN21" t="str">
        <f t="shared" si="5"/>
        <v>MATCH (d:Director {name: "Craig Mazin"}),  (m:Movie {title: "The Last of Us" })     CREATE (d)-[:DIRECTED]-&gt;(m);</v>
      </c>
    </row>
    <row r="22" spans="1:40" x14ac:dyDescent="0.25">
      <c r="A22" s="1" t="s">
        <v>110</v>
      </c>
      <c r="B22" s="1" t="s">
        <v>134</v>
      </c>
      <c r="C22" s="1" t="s">
        <v>46</v>
      </c>
      <c r="D22" t="s">
        <v>135</v>
      </c>
      <c r="E22" s="1" t="s">
        <v>137</v>
      </c>
      <c r="F22" s="1" t="s">
        <v>195</v>
      </c>
      <c r="G22" s="1" t="s">
        <v>185</v>
      </c>
      <c r="P22" t="str">
        <f t="shared" si="6"/>
        <v>CREATE (:Series {title: "The Chosen"});</v>
      </c>
      <c r="U22" t="str">
        <f t="shared" si="2"/>
        <v>CREATE   (:Actor {name: "Jonathan Roumie"});</v>
      </c>
      <c r="Z22" t="str">
        <f t="shared" si="3"/>
        <v>CREATE (:Director   {name: "Dallas Jenkins"});</v>
      </c>
      <c r="AE22" t="str">
        <f t="shared" si="4"/>
        <v>CREATE   (:User {name: "Maria Castro"});</v>
      </c>
      <c r="AN22" t="str">
        <f t="shared" si="5"/>
        <v>MATCH (d:Director {name: "Dallas Jenkins"}),  (m:Movie {title: "The Chosen" })     CREATE (d)-[:DIRECTED]-&gt;(m);</v>
      </c>
    </row>
    <row r="23" spans="1:40" x14ac:dyDescent="0.25">
      <c r="A23" s="1" t="s">
        <v>110</v>
      </c>
      <c r="B23" s="1" t="s">
        <v>179</v>
      </c>
      <c r="C23" s="1" t="s">
        <v>63</v>
      </c>
      <c r="D23" t="s">
        <v>180</v>
      </c>
      <c r="E23" s="1" t="s">
        <v>182</v>
      </c>
      <c r="F23" s="1" t="s">
        <v>43</v>
      </c>
      <c r="G23" s="1" t="s">
        <v>185</v>
      </c>
      <c r="P23" t="str">
        <f t="shared" si="6"/>
        <v>CREATE (:Series {title: "Outlander"});</v>
      </c>
      <c r="U23" t="str">
        <f t="shared" si="2"/>
        <v>CREATE   (:Actor {name: "Caitríona Balfe"});</v>
      </c>
      <c r="Z23" t="str">
        <f t="shared" si="3"/>
        <v>CREATE (:Director   {name: "Ronald D. Moore"});</v>
      </c>
      <c r="AE23" t="str">
        <f t="shared" si="4"/>
        <v>CREATE   (:User {name: "Fernando Costa"});</v>
      </c>
      <c r="AN23" t="str">
        <f t="shared" si="5"/>
        <v>MATCH (d:Director {name: "Ronald D. Moore"}),  (m:Movie {title: "Outlander" })     CREATE (d)-[:DIRECTED]-&gt;(m);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DE01F-3C20-42FB-8160-5793BD0B5F25}">
  <dimension ref="B2:Z22"/>
  <sheetViews>
    <sheetView tabSelected="1" topLeftCell="B7" zoomScale="160" zoomScaleNormal="160" workbookViewId="0">
      <selection activeCell="F17" sqref="F17"/>
    </sheetView>
  </sheetViews>
  <sheetFormatPr defaultRowHeight="15" x14ac:dyDescent="0.25"/>
  <cols>
    <col min="3" max="3" width="37.7109375" bestFit="1" customWidth="1"/>
    <col min="4" max="4" width="19.5703125" bestFit="1" customWidth="1"/>
    <col min="5" max="5" width="19.7109375" bestFit="1" customWidth="1"/>
    <col min="6" max="6" width="19.5703125" bestFit="1" customWidth="1"/>
    <col min="7" max="7" width="20.42578125" bestFit="1" customWidth="1"/>
    <col min="9" max="9" width="33" hidden="1" customWidth="1"/>
    <col min="10" max="10" width="20.28515625" hidden="1" customWidth="1"/>
    <col min="11" max="11" width="32.7109375" hidden="1" customWidth="1"/>
    <col min="12" max="12" width="0" hidden="1" customWidth="1"/>
    <col min="13" max="13" width="26.7109375" hidden="1" customWidth="1"/>
    <col min="14" max="14" width="23.7109375" hidden="1" customWidth="1"/>
    <col min="15" max="15" width="33" hidden="1" customWidth="1"/>
    <col min="16" max="16" width="23.28515625" hidden="1" customWidth="1"/>
    <col min="17" max="17" width="22.42578125" hidden="1" customWidth="1"/>
    <col min="18" max="18" width="32.85546875" hidden="1" customWidth="1"/>
    <col min="19" max="19" width="26" hidden="1" customWidth="1"/>
    <col min="20" max="20" width="23.28515625" hidden="1" customWidth="1"/>
    <col min="21" max="21" width="31.42578125" hidden="1" customWidth="1"/>
    <col min="22" max="22" width="17.7109375" hidden="1" customWidth="1"/>
    <col min="23" max="23" width="22.7109375" hidden="1" customWidth="1"/>
    <col min="24" max="24" width="25" hidden="1" customWidth="1"/>
    <col min="25" max="25" width="39.28515625" hidden="1" customWidth="1"/>
    <col min="26" max="26" width="0" hidden="1" customWidth="1"/>
  </cols>
  <sheetData>
    <row r="2" spans="2:26" x14ac:dyDescent="0.25">
      <c r="I2" t="s">
        <v>218</v>
      </c>
      <c r="M2" t="s">
        <v>221</v>
      </c>
      <c r="S2" t="s">
        <v>228</v>
      </c>
      <c r="W2" t="s">
        <v>231</v>
      </c>
    </row>
    <row r="3" spans="2:26" x14ac:dyDescent="0.25">
      <c r="B3" s="1" t="s">
        <v>0</v>
      </c>
      <c r="C3" s="1" t="s">
        <v>1</v>
      </c>
      <c r="D3" s="1" t="s">
        <v>3</v>
      </c>
      <c r="E3" t="s">
        <v>4</v>
      </c>
      <c r="F3" s="1" t="s">
        <v>6</v>
      </c>
      <c r="G3" s="1" t="s">
        <v>207</v>
      </c>
      <c r="H3" s="1" t="s">
        <v>184</v>
      </c>
      <c r="I3" t="s">
        <v>219</v>
      </c>
      <c r="J3" t="s">
        <v>216</v>
      </c>
      <c r="K3" s="2" t="s">
        <v>220</v>
      </c>
      <c r="M3" t="s">
        <v>222</v>
      </c>
      <c r="N3" t="s">
        <v>223</v>
      </c>
      <c r="O3" t="s">
        <v>224</v>
      </c>
      <c r="P3" t="s">
        <v>225</v>
      </c>
      <c r="S3" t="s">
        <v>215</v>
      </c>
      <c r="T3" t="s">
        <v>229</v>
      </c>
      <c r="U3" s="2" t="s">
        <v>230</v>
      </c>
      <c r="V3" s="2"/>
      <c r="W3" t="s">
        <v>232</v>
      </c>
      <c r="X3" t="s">
        <v>233</v>
      </c>
      <c r="Y3" t="s">
        <v>234</v>
      </c>
      <c r="Z3" t="s">
        <v>235</v>
      </c>
    </row>
    <row r="4" spans="2:26" x14ac:dyDescent="0.25">
      <c r="B4" s="1" t="s">
        <v>9</v>
      </c>
      <c r="C4" s="1" t="s">
        <v>17</v>
      </c>
      <c r="D4" s="1" t="s">
        <v>11</v>
      </c>
      <c r="E4" t="s">
        <v>18</v>
      </c>
      <c r="F4" s="1" t="s">
        <v>14</v>
      </c>
      <c r="G4" s="1" t="s">
        <v>20</v>
      </c>
      <c r="H4" s="1" t="s">
        <v>185</v>
      </c>
      <c r="I4" s="3" t="str">
        <f>CONCATENATE(I$3,G4,J$3,C4,K$3)</f>
        <v>MATCH (u:User {name:  "Ana Silva"}),  (m:Movie {title: "Laranja Mecânica"})    CREATE (u)-[:WATCHED {rating: 'ótimo'}]-&gt;(m);</v>
      </c>
      <c r="M4" t="str">
        <f>CONCATENATE(M$3,C4,N$3,D4,O$3)</f>
        <v>MATCH (m:Movie {title: "Laranja Mecânica"}),  (g:Genre {type: "Ficção Científica"})      CREATE (m)&lt;-[:IN_GENRE]-(g);</v>
      </c>
      <c r="P4" t="s">
        <v>210</v>
      </c>
      <c r="Q4" t="s">
        <v>226</v>
      </c>
      <c r="R4" t="s">
        <v>227</v>
      </c>
    </row>
    <row r="5" spans="2:26" x14ac:dyDescent="0.25">
      <c r="B5" s="1" t="s">
        <v>9</v>
      </c>
      <c r="C5" s="1" t="s">
        <v>22</v>
      </c>
      <c r="D5" s="1" t="s">
        <v>23</v>
      </c>
      <c r="E5" t="s">
        <v>24</v>
      </c>
      <c r="F5" s="1" t="s">
        <v>26</v>
      </c>
      <c r="G5" s="1" t="s">
        <v>27</v>
      </c>
      <c r="H5" s="1" t="s">
        <v>185</v>
      </c>
      <c r="I5" s="3" t="str">
        <f t="shared" ref="I5:I17" si="0">CONCATENATE(I$3,G5,J$3,C5,K$3)</f>
        <v>MATCH (u:User {name:  "João Mendes"}),  (m:Movie {title: "O Poderoso Chefão"})    CREATE (u)-[:WATCHED {rating: 'ótimo'}]-&gt;(m);</v>
      </c>
      <c r="M5" t="str">
        <f t="shared" ref="M5:M22" si="1">CONCATENATE(M$3,C5,N$3,D5,O$3)</f>
        <v>MATCH (m:Movie {title: "O Poderoso Chefão"}),  (g:Genre {type: "Policial Investigativo"})      CREATE (m)&lt;-[:IN_GENRE]-(g);</v>
      </c>
    </row>
    <row r="6" spans="2:26" x14ac:dyDescent="0.25">
      <c r="B6" s="1" t="s">
        <v>9</v>
      </c>
      <c r="C6" s="1" t="s">
        <v>28</v>
      </c>
      <c r="D6" s="1" t="s">
        <v>11</v>
      </c>
      <c r="E6" t="s">
        <v>29</v>
      </c>
      <c r="F6" s="1" t="s">
        <v>31</v>
      </c>
      <c r="G6" s="1" t="s">
        <v>32</v>
      </c>
      <c r="H6" s="1" t="s">
        <v>185</v>
      </c>
      <c r="I6" s="3" t="str">
        <f t="shared" si="0"/>
        <v>MATCH (u:User {name:  "Pedro Santos"}),  (m:Movie {title: "Blade Runner: O Caçador de Androides"})    CREATE (u)-[:WATCHED {rating: 'ótimo'}]-&gt;(m);</v>
      </c>
      <c r="M6" t="str">
        <f t="shared" si="1"/>
        <v>MATCH (m:Movie {title: "Blade Runner: O Caçador de Androides"}),  (g:Genre {type: "Ficção Científica"})      CREATE (m)&lt;-[:IN_GENRE]-(g);</v>
      </c>
    </row>
    <row r="7" spans="2:26" s="6" customFormat="1" x14ac:dyDescent="0.25">
      <c r="B7" s="5" t="s">
        <v>9</v>
      </c>
      <c r="C7" s="5" t="s">
        <v>33</v>
      </c>
      <c r="D7" s="5" t="s">
        <v>34</v>
      </c>
      <c r="E7" s="6" t="s">
        <v>29</v>
      </c>
      <c r="F7" s="5" t="s">
        <v>36</v>
      </c>
      <c r="G7" s="5" t="s">
        <v>37</v>
      </c>
      <c r="H7" s="5" t="s">
        <v>185</v>
      </c>
      <c r="I7" s="7" t="str">
        <f t="shared" si="0"/>
        <v>MATCH (u:User {name:  "Carla Lima"}),  (m:Movie {title: "Os Caçadores da Arca Perdida"})    CREATE (u)-[:WATCHED {rating: 'ótimo'}]-&gt;(m);</v>
      </c>
      <c r="M7" s="6" t="str">
        <f t="shared" si="1"/>
        <v>MATCH (m:Movie {title: "Os Caçadores da Arca Perdida"}),  (g:Genre {type: "Ação"})      CREATE (m)&lt;-[:IN_GENRE]-(g);</v>
      </c>
    </row>
    <row r="8" spans="2:26" x14ac:dyDescent="0.25">
      <c r="B8" s="1" t="s">
        <v>9</v>
      </c>
      <c r="C8" s="1" t="s">
        <v>45</v>
      </c>
      <c r="D8" s="1" t="s">
        <v>46</v>
      </c>
      <c r="E8" t="s">
        <v>47</v>
      </c>
      <c r="F8" s="1" t="s">
        <v>49</v>
      </c>
      <c r="G8" s="1" t="s">
        <v>50</v>
      </c>
      <c r="H8" s="1" t="s">
        <v>185</v>
      </c>
      <c r="I8" s="3" t="str">
        <f t="shared" si="0"/>
        <v>MATCH (u:User {name:  "Maria Oliveira"}),  (m:Movie {title: "Cruzada"})    CREATE (u)-[:WATCHED {rating: 'ótimo'}]-&gt;(m);</v>
      </c>
      <c r="M8" t="str">
        <f t="shared" si="1"/>
        <v>MATCH (m:Movie {title: "Cruzada"}),  (g:Genre {type: "Cristão"})      CREATE (m)&lt;-[:IN_GENRE]-(g);</v>
      </c>
    </row>
    <row r="9" spans="2:26" x14ac:dyDescent="0.25">
      <c r="B9" s="1" t="s">
        <v>9</v>
      </c>
      <c r="C9" s="1" t="s">
        <v>51</v>
      </c>
      <c r="D9" s="1" t="s">
        <v>39</v>
      </c>
      <c r="E9" t="s">
        <v>52</v>
      </c>
      <c r="F9" s="1" t="s">
        <v>54</v>
      </c>
      <c r="G9" s="1" t="s">
        <v>55</v>
      </c>
      <c r="H9" s="1" t="s">
        <v>185</v>
      </c>
      <c r="I9" s="3" t="str">
        <f t="shared" si="0"/>
        <v>MATCH (u:User {name:  "Paulo Rocha"}),  (m:Movie {title: "Diários de Motocicleta"})    CREATE (u)-[:WATCHED {rating: 'ótimo'}]-&gt;(m);</v>
      </c>
      <c r="M9" t="str">
        <f t="shared" si="1"/>
        <v>MATCH (m:Movie {title: "Diários de Motocicleta"}),  (g:Genre {type: "Documentário"})      CREATE (m)&lt;-[:IN_GENRE]-(g);</v>
      </c>
    </row>
    <row r="10" spans="2:26" x14ac:dyDescent="0.25">
      <c r="B10" s="1" t="s">
        <v>9</v>
      </c>
      <c r="C10" s="1" t="s">
        <v>57</v>
      </c>
      <c r="D10" s="1" t="s">
        <v>23</v>
      </c>
      <c r="E10" t="s">
        <v>58</v>
      </c>
      <c r="F10" s="1" t="s">
        <v>60</v>
      </c>
      <c r="G10" s="1" t="s">
        <v>61</v>
      </c>
      <c r="H10" s="1" t="s">
        <v>185</v>
      </c>
      <c r="I10" s="3" t="str">
        <f t="shared" si="0"/>
        <v>MATCH (u:User {name:  "Juliana Alves"}),  (m:Movie {title: "Tropa de Elite"})    CREATE (u)-[:WATCHED {rating: 'ótimo'}]-&gt;(m);</v>
      </c>
      <c r="M10" t="str">
        <f t="shared" si="1"/>
        <v>MATCH (m:Movie {title: "Tropa de Elite"}),  (g:Genre {type: "Policial Investigativo"})      CREATE (m)&lt;-[:IN_GENRE]-(g);</v>
      </c>
    </row>
    <row r="11" spans="2:26" x14ac:dyDescent="0.25">
      <c r="B11" s="1" t="s">
        <v>9</v>
      </c>
      <c r="C11" s="1" t="s">
        <v>62</v>
      </c>
      <c r="D11" s="1" t="s">
        <v>63</v>
      </c>
      <c r="E11" t="s">
        <v>64</v>
      </c>
      <c r="F11" s="1" t="s">
        <v>66</v>
      </c>
      <c r="G11" s="1" t="s">
        <v>67</v>
      </c>
      <c r="H11" s="1" t="s">
        <v>185</v>
      </c>
      <c r="I11" s="3" t="str">
        <f t="shared" si="0"/>
        <v>MATCH (u:User {name:  "Sofia Ribeiro"}),  (m:Movie {title: "O Curioso Caso de Benjamin Button"})    CREATE (u)-[:WATCHED {rating: 'ótimo'}]-&gt;(m);</v>
      </c>
      <c r="M11" t="str">
        <f t="shared" si="1"/>
        <v>MATCH (m:Movie {title: "O Curioso Caso de Benjamin Button"}),  (g:Genre {type: "Romance"})      CREATE (m)&lt;-[:IN_GENRE]-(g);</v>
      </c>
    </row>
    <row r="12" spans="2:26" x14ac:dyDescent="0.25">
      <c r="B12" s="1" t="s">
        <v>9</v>
      </c>
      <c r="C12" s="1" t="s">
        <v>73</v>
      </c>
      <c r="D12" s="1" t="s">
        <v>34</v>
      </c>
      <c r="E12" t="s">
        <v>74</v>
      </c>
      <c r="F12" s="1" t="s">
        <v>76</v>
      </c>
      <c r="G12" s="1" t="s">
        <v>77</v>
      </c>
      <c r="H12" s="1" t="s">
        <v>185</v>
      </c>
      <c r="I12" s="3" t="str">
        <f t="shared" si="0"/>
        <v>MATCH (u:User {name:  "Lucas Martins"}),  (m:Movie {title: "Carros"})    CREATE (u)-[:WATCHED {rating: 'ótimo'}]-&gt;(m);</v>
      </c>
      <c r="M12" t="str">
        <f t="shared" si="1"/>
        <v>MATCH (m:Movie {title: "Carros"}),  (g:Genre {type: "Ação"})      CREATE (m)&lt;-[:IN_GENRE]-(g);</v>
      </c>
    </row>
    <row r="13" spans="2:26" x14ac:dyDescent="0.25">
      <c r="B13" s="1" t="s">
        <v>9</v>
      </c>
      <c r="C13" s="1" t="s">
        <v>78</v>
      </c>
      <c r="D13" s="1" t="s">
        <v>11</v>
      </c>
      <c r="E13" t="s">
        <v>79</v>
      </c>
      <c r="F13" s="1" t="s">
        <v>81</v>
      </c>
      <c r="G13" s="1" t="s">
        <v>187</v>
      </c>
      <c r="H13" s="1" t="s">
        <v>185</v>
      </c>
      <c r="I13" s="3" t="str">
        <f t="shared" si="0"/>
        <v>MATCH (u:User {name:  "Ana Carla Santos"}),  (m:Movie {title: "A Chegada"})    CREATE (u)-[:WATCHED {rating: 'ótimo'}]-&gt;(m);</v>
      </c>
      <c r="M13" t="str">
        <f t="shared" si="1"/>
        <v>MATCH (m:Movie {title: "A Chegada"}),  (g:Genre {type: "Ficção Científica"})      CREATE (m)&lt;-[:IN_GENRE]-(g);</v>
      </c>
    </row>
    <row r="14" spans="2:26" x14ac:dyDescent="0.25">
      <c r="B14" s="1" t="s">
        <v>9</v>
      </c>
      <c r="C14" s="1" t="s">
        <v>82</v>
      </c>
      <c r="D14" s="1" t="s">
        <v>23</v>
      </c>
      <c r="E14" t="s">
        <v>83</v>
      </c>
      <c r="F14" s="1" t="s">
        <v>85</v>
      </c>
      <c r="G14" s="1" t="s">
        <v>191</v>
      </c>
      <c r="H14" s="1" t="s">
        <v>185</v>
      </c>
      <c r="I14" s="3" t="str">
        <f t="shared" si="0"/>
        <v>MATCH (u:User {name:  "Mendes"}),  (m:Movie {title: "Cidade de Deus"})    CREATE (u)-[:WATCHED {rating: 'ótimo'}]-&gt;(m);</v>
      </c>
      <c r="M14" t="str">
        <f t="shared" si="1"/>
        <v>MATCH (m:Movie {title: "Cidade de Deus"}),  (g:Genre {type: "Policial Investigativo"})      CREATE (m)&lt;-[:IN_GENRE]-(g);</v>
      </c>
    </row>
    <row r="15" spans="2:26" x14ac:dyDescent="0.25">
      <c r="B15" s="1" t="s">
        <v>9</v>
      </c>
      <c r="C15" s="1" t="s">
        <v>89</v>
      </c>
      <c r="D15" s="1" t="s">
        <v>34</v>
      </c>
      <c r="E15" t="s">
        <v>90</v>
      </c>
      <c r="F15" s="1" t="s">
        <v>92</v>
      </c>
      <c r="G15" s="1" t="s">
        <v>189</v>
      </c>
      <c r="H15" s="1" t="s">
        <v>185</v>
      </c>
      <c r="I15" s="3" t="str">
        <f t="shared" si="0"/>
        <v>MATCH (u:User {name:  "Santos"}),  (m:Movie {title: "Mad Max: Estrada da Fúria"})    CREATE (u)-[:WATCHED {rating: 'ótimo'}]-&gt;(m);</v>
      </c>
      <c r="M15" t="str">
        <f t="shared" si="1"/>
        <v>MATCH (m:Movie {title: "Mad Max: Estrada da Fúria"}),  (g:Genre {type: "Ação"})      CREATE (m)&lt;-[:IN_GENRE]-(g);</v>
      </c>
    </row>
    <row r="16" spans="2:26" x14ac:dyDescent="0.25">
      <c r="B16" s="8" t="s">
        <v>9</v>
      </c>
      <c r="C16" s="8" t="s">
        <v>94</v>
      </c>
      <c r="D16" s="8" t="s">
        <v>46</v>
      </c>
      <c r="E16" s="9" t="s">
        <v>95</v>
      </c>
      <c r="F16" s="8" t="s">
        <v>97</v>
      </c>
      <c r="G16" s="8" t="s">
        <v>190</v>
      </c>
      <c r="H16" s="1" t="s">
        <v>185</v>
      </c>
      <c r="I16" s="3" t="str">
        <f t="shared" si="0"/>
        <v>MATCH (u:User {name:  "Oliveira"}),  (m:Movie {title: "O Silêncio"})    CREATE (u)-[:WATCHED {rating: 'ótimo'}]-&gt;(m);</v>
      </c>
      <c r="M16" t="str">
        <f t="shared" si="1"/>
        <v>MATCH (m:Movie {title: "O Silêncio"}),  (g:Genre {type: "Cristão"})      CREATE (m)&lt;-[:IN_GENRE]-(g);</v>
      </c>
    </row>
    <row r="17" spans="2:23" x14ac:dyDescent="0.25">
      <c r="B17" s="8" t="s">
        <v>9</v>
      </c>
      <c r="C17" s="8" t="s">
        <v>106</v>
      </c>
      <c r="D17" s="8" t="s">
        <v>34</v>
      </c>
      <c r="E17" s="9" t="s">
        <v>107</v>
      </c>
      <c r="F17" s="8" t="s">
        <v>109</v>
      </c>
      <c r="G17" s="8" t="s">
        <v>188</v>
      </c>
      <c r="H17" s="1" t="s">
        <v>185</v>
      </c>
      <c r="I17" s="3" t="str">
        <f t="shared" si="0"/>
        <v>MATCH (u:User {name:  "Rocha"}),  (m:Movie {title: "Top Gun: Maverick"})    CREATE (u)-[:WATCHED {rating: 'ótimo'}]-&gt;(m);</v>
      </c>
      <c r="M17" t="str">
        <f t="shared" si="1"/>
        <v>MATCH (m:Movie {title: "Top Gun: Maverick"}),  (g:Genre {type: "Ação"})      CREATE (m)&lt;-[:IN_GENRE]-(g);</v>
      </c>
    </row>
    <row r="18" spans="2:23" x14ac:dyDescent="0.25">
      <c r="B18" s="1" t="s">
        <v>110</v>
      </c>
      <c r="C18" s="1" t="s">
        <v>111</v>
      </c>
      <c r="D18" s="1" t="s">
        <v>39</v>
      </c>
      <c r="E18" t="s">
        <v>112</v>
      </c>
      <c r="F18" s="1" t="s">
        <v>114</v>
      </c>
      <c r="G18" s="1" t="s">
        <v>192</v>
      </c>
      <c r="H18" s="1" t="s">
        <v>185</v>
      </c>
      <c r="I18" s="3"/>
      <c r="M18" t="str">
        <f t="shared" si="1"/>
        <v>MATCH (m:Movie {title: "Cosmos: Uma Odisseia no Espaço-Tempo"}),  (g:Genre {type: "Documentário"})      CREATE (m)&lt;-[:IN_GENRE]-(g);</v>
      </c>
      <c r="P18" t="str">
        <f>CONCATENATE(P$4,E17,Q$4,C17,R$4)</f>
        <v>MATCH (a:Actor {name: "Tom Cruise"}),         (s:Series {title: "Top Gun: Maverick"})        CREATE (a)-[:ACTED_IN]-&gt;(s),</v>
      </c>
      <c r="S18" t="str">
        <f>CONCATENATE(S$3,F18,T$3,C18,U$3)</f>
        <v>MATCH (d:Director {name: "Brannon Braga"}),           (s:Series {title: "Cosmos: Uma Odisseia no Espaço-Tempo"})               CREATE (d)-[:DIRECTED]-&gt;(s);</v>
      </c>
      <c r="V18" t="s">
        <v>236</v>
      </c>
      <c r="W18" s="4" t="str">
        <f>CONCATENATE(W$3,G18,X$3,C18,Y$3,V18,Z$3)</f>
        <v>MATCH (u:User {name: "Ribeiro"}),               (s:Series {title: "Cosmos: Uma Odisseia no Espaço-Tempo"})               CREATE (u)-[:WATCHED {rating: "regular"}]-&gt;(s);</v>
      </c>
    </row>
    <row r="19" spans="2:23" x14ac:dyDescent="0.25">
      <c r="B19" s="1" t="s">
        <v>110</v>
      </c>
      <c r="C19" s="1" t="s">
        <v>119</v>
      </c>
      <c r="D19" s="1" t="s">
        <v>11</v>
      </c>
      <c r="E19" t="s">
        <v>120</v>
      </c>
      <c r="F19" s="1" t="s">
        <v>121</v>
      </c>
      <c r="G19" s="1" t="s">
        <v>193</v>
      </c>
      <c r="H19" s="1" t="s">
        <v>185</v>
      </c>
      <c r="I19" s="3"/>
      <c r="M19" t="str">
        <f t="shared" si="1"/>
        <v>MATCH (m:Movie {title: "Black Mirror"}),  (g:Genre {type: "Ficção Científica"})      CREATE (m)&lt;-[:IN_GENRE]-(g);</v>
      </c>
      <c r="P19" t="str">
        <f>CONCATENATE(P$4,E18,Q$4,C18,R$4)</f>
        <v>MATCH (a:Actor {name: "Neil deGrasse Tyson"}),         (s:Series {title: "Cosmos: Uma Odisseia no Espaço-Tempo"})        CREATE (a)-[:ACTED_IN]-&gt;(s),</v>
      </c>
      <c r="S19" t="str">
        <f t="shared" ref="S19:S22" si="2">CONCATENATE(S$3,F19,T$3,C19,U$3)</f>
        <v>MATCH (d:Director {name: "Charlie Brooker"}),           (s:Series {title: "Black Mirror"})               CREATE (d)-[:DIRECTED]-&gt;(s);</v>
      </c>
      <c r="V19" t="s">
        <v>237</v>
      </c>
      <c r="W19" s="4" t="str">
        <f t="shared" ref="W19:W22" si="3">CONCATENATE(W$3,G19,X$3,C19,Y$3,V19,Z$3)</f>
        <v>MATCH (u:User {name: "Martins"}),               (s:Series {title: "Black Mirror"})               CREATE (u)-[:WATCHED {rating: "bom"}]-&gt;(s);</v>
      </c>
    </row>
    <row r="20" spans="2:23" x14ac:dyDescent="0.25">
      <c r="B20" s="1" t="s">
        <v>110</v>
      </c>
      <c r="C20" s="1" t="s">
        <v>126</v>
      </c>
      <c r="D20" s="1" t="s">
        <v>34</v>
      </c>
      <c r="E20" t="s">
        <v>127</v>
      </c>
      <c r="F20" s="1" t="s">
        <v>129</v>
      </c>
      <c r="G20" s="1" t="s">
        <v>194</v>
      </c>
      <c r="H20" s="1" t="s">
        <v>185</v>
      </c>
      <c r="I20" s="3"/>
      <c r="M20" t="str">
        <f t="shared" si="1"/>
        <v>MATCH (m:Movie {title: "The Last of Us"}),  (g:Genre {type: "Ação"})      CREATE (m)&lt;-[:IN_GENRE]-(g);</v>
      </c>
      <c r="P20" t="str">
        <f t="shared" ref="P20:P22" si="4">CONCATENATE(P$4,E19,Q$4,C19,R$4)</f>
        <v>MATCH (a:Actor {name: "Bryce Dallas Howard"}),         (s:Series {title: "Black Mirror"})        CREATE (a)-[:ACTED_IN]-&gt;(s),</v>
      </c>
      <c r="S20" t="str">
        <f t="shared" si="2"/>
        <v>MATCH (d:Director {name: "Craig Mazin"}),           (s:Series {title: "The Last of Us"})               CREATE (d)-[:DIRECTED]-&gt;(s);</v>
      </c>
      <c r="V20" t="s">
        <v>236</v>
      </c>
      <c r="W20" s="4" t="str">
        <f t="shared" si="3"/>
        <v>MATCH (u:User {name: "Antônio João Mendes"}),               (s:Series {title: "The Last of Us"})               CREATE (u)-[:WATCHED {rating: "regular"}]-&gt;(s);</v>
      </c>
    </row>
    <row r="21" spans="2:23" x14ac:dyDescent="0.25">
      <c r="B21" s="1" t="s">
        <v>110</v>
      </c>
      <c r="C21" s="1" t="s">
        <v>134</v>
      </c>
      <c r="D21" s="1" t="s">
        <v>46</v>
      </c>
      <c r="E21" t="s">
        <v>135</v>
      </c>
      <c r="F21" s="1" t="s">
        <v>137</v>
      </c>
      <c r="G21" s="1" t="s">
        <v>195</v>
      </c>
      <c r="H21" s="1" t="s">
        <v>185</v>
      </c>
      <c r="I21" s="3"/>
      <c r="M21" t="str">
        <f t="shared" si="1"/>
        <v>MATCH (m:Movie {title: "The Chosen"}),  (g:Genre {type: "Cristão"})      CREATE (m)&lt;-[:IN_GENRE]-(g);</v>
      </c>
      <c r="P21" t="str">
        <f t="shared" si="4"/>
        <v>MATCH (a:Actor {name: "Pedro Pascal"}),         (s:Series {title: "The Last of Us"})        CREATE (a)-[:ACTED_IN]-&gt;(s),</v>
      </c>
      <c r="S21" t="str">
        <f t="shared" si="2"/>
        <v>MATCH (d:Director {name: "Dallas Jenkins"}),           (s:Series {title: "The Chosen"})               CREATE (d)-[:DIRECTED]-&gt;(s);</v>
      </c>
      <c r="V21" t="s">
        <v>238</v>
      </c>
      <c r="W21" s="4" t="str">
        <f t="shared" si="3"/>
        <v>MATCH (u:User {name: "Maria Castro"}),               (s:Series {title: "The Chosen"})               CREATE (u)-[:WATCHED {rating: "ótimo"}]-&gt;(s);</v>
      </c>
    </row>
    <row r="22" spans="2:23" x14ac:dyDescent="0.25">
      <c r="B22" s="1" t="s">
        <v>110</v>
      </c>
      <c r="C22" s="1" t="s">
        <v>179</v>
      </c>
      <c r="D22" s="1" t="s">
        <v>63</v>
      </c>
      <c r="E22" t="s">
        <v>180</v>
      </c>
      <c r="F22" s="1" t="s">
        <v>182</v>
      </c>
      <c r="G22" s="1" t="s">
        <v>43</v>
      </c>
      <c r="H22" s="1" t="s">
        <v>185</v>
      </c>
      <c r="I22" s="3"/>
      <c r="M22" t="str">
        <f t="shared" si="1"/>
        <v>MATCH (m:Movie {title: "Outlander"}),  (g:Genre {type: "Romance"})      CREATE (m)&lt;-[:IN_GENRE]-(g);</v>
      </c>
      <c r="P22" t="str">
        <f t="shared" si="4"/>
        <v>MATCH (a:Actor {name: "Jonathan Roumie"}),         (s:Series {title: "The Chosen"})        CREATE (a)-[:ACTED_IN]-&gt;(s),</v>
      </c>
      <c r="S22" t="str">
        <f t="shared" si="2"/>
        <v>MATCH (d:Director {name: "Ronald D. Moore"}),           (s:Series {title: "Outlander"})               CREATE (d)-[:DIRECTED]-&gt;(s);</v>
      </c>
      <c r="V22" t="s">
        <v>237</v>
      </c>
      <c r="W22" s="4" t="str">
        <f t="shared" si="3"/>
        <v>MATCH (u:User {name: "Fernando Costa"}),               (s:Series {title: "Outlander"})               CREATE (u)-[:WATCHED {rating: "bom"}]-&gt;(s);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Planilha1</vt:lpstr>
      <vt:lpstr>Planilha3</vt:lpstr>
      <vt:lpstr>Planilha2</vt:lpstr>
      <vt:lpstr>Projeto 1 Entregue</vt:lpstr>
      <vt:lpstr>Planilha1!Projeto_1_Lista_Filmes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Monteiro Silva</dc:creator>
  <cp:lastModifiedBy>Alvaro Monteiro Silva</cp:lastModifiedBy>
  <dcterms:created xsi:type="dcterms:W3CDTF">2025-11-04T15:25:29Z</dcterms:created>
  <dcterms:modified xsi:type="dcterms:W3CDTF">2025-11-07T23:31:32Z</dcterms:modified>
</cp:coreProperties>
</file>